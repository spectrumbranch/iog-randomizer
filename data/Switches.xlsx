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itches_New" sheetId="1" state="visible" r:id="rId2"/>
    <sheet name="Switches_Vanilla" sheetId="2" state="visible" r:id="rId3"/>
    <sheet name="Sheet2" sheetId="3" state="visible" r:id="rId4"/>
    <sheet name="Sheet3" sheetId="4" state="visible" r:id="rId5"/>
  </sheets>
  <calcPr iterateCount="100" refMode="R1C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<sst xmlns="http://schemas.openxmlformats.org/spreadsheetml/2006/main" count="903" uniqueCount="567">
  <si>
    <t xml:space="preserve">ID</t>
  </si>
  <si>
    <t xml:space="preserve">Byte</t>
  </si>
  <si>
    <t xml:space="preserve">Switches</t>
  </si>
  <si>
    <t xml:space="preserve">Temporary Switches</t>
  </si>
  <si>
    <t xml:space="preserve">Seaside: completed</t>
  </si>
  <si>
    <t xml:space="preserve">Seaside: talk with friends</t>
  </si>
  <si>
    <t xml:space="preserve">TALK TO NEIL</t>
  </si>
  <si>
    <t xml:space="preserve">RESTORE NEIL MEMORY</t>
  </si>
  <si>
    <t xml:space="preserve">RJ @ SCHOOL</t>
  </si>
  <si>
    <t xml:space="preserve">TALK TO SETH</t>
  </si>
  <si>
    <t xml:space="preserve">KNOW MORSE CODE</t>
  </si>
  <si>
    <t xml:space="preserve">Opening cutscene</t>
  </si>
  <si>
    <t xml:space="preserve">TURN IN WILL</t>
  </si>
  <si>
    <t xml:space="preserve">Unused</t>
  </si>
  <si>
    <t xml:space="preserve">Wake up @ Will's</t>
  </si>
  <si>
    <t xml:space="preserve">Sleep @ Will's</t>
  </si>
  <si>
    <t xml:space="preserve">Soldiers come for Kara</t>
  </si>
  <si>
    <t xml:space="preserve">Kara's Guard</t>
  </si>
  <si>
    <t xml:space="preserve">Kara in Palace</t>
  </si>
  <si>
    <t xml:space="preserve">RJ @ LANCE</t>
  </si>
  <si>
    <t xml:space="preserve">Guard @ South Cape</t>
  </si>
  <si>
    <t xml:space="preserve">Kara &amp; Lilly Meet</t>
  </si>
  <si>
    <t xml:space="preserve">Off to Itory</t>
  </si>
  <si>
    <t xml:space="preserve">Prison door unlocked</t>
  </si>
  <si>
    <t xml:space="preserve">Got key from Hamlet</t>
  </si>
  <si>
    <t xml:space="preserve">Leave castle w/Kara</t>
  </si>
  <si>
    <t xml:space="preserve">Talk to Edward</t>
  </si>
  <si>
    <t xml:space="preserve">Place diamond block</t>
  </si>
  <si>
    <t xml:space="preserve">Got Inca Statue A</t>
  </si>
  <si>
    <t xml:space="preserve">Lilly &amp; Kara @ Itory</t>
  </si>
  <si>
    <t xml:space="preserve">Awaken Moon Tribe</t>
  </si>
  <si>
    <t xml:space="preserve">Sent to Jeweler's</t>
  </si>
  <si>
    <t xml:space="preserve">Leave Itory w/Lilly</t>
  </si>
  <si>
    <t xml:space="preserve">RJ @ COAST</t>
  </si>
  <si>
    <t xml:space="preserve">Got Lola's Melody</t>
  </si>
  <si>
    <t xml:space="preserve">RJ @ ITORY</t>
  </si>
  <si>
    <t xml:space="preserve">RJ @ TUNNEL</t>
  </si>
  <si>
    <t xml:space="preserve">Got Wind Melody</t>
  </si>
  <si>
    <t xml:space="preserve">Place Inca B</t>
  </si>
  <si>
    <t xml:space="preserve">Place Inca A</t>
  </si>
  <si>
    <t xml:space="preserve">Enter Edward's</t>
  </si>
  <si>
    <t xml:space="preserve">WEARING RING</t>
  </si>
  <si>
    <t xml:space="preserve">First convo with Kara</t>
  </si>
  <si>
    <t xml:space="preserve">Inca: Step on tile</t>
  </si>
  <si>
    <t xml:space="preserve">Bill and Lola @ Itory</t>
  </si>
  <si>
    <t xml:space="preserve">RJ @ FREEJIA</t>
  </si>
  <si>
    <t xml:space="preserve">Talk to Itory Elder</t>
  </si>
  <si>
    <t xml:space="preserve">Got the roast</t>
  </si>
  <si>
    <t xml:space="preserve">Itory elder final conv.</t>
  </si>
  <si>
    <t xml:space="preserve">Guard prison unlocked</t>
  </si>
  <si>
    <t xml:space="preserve">FEED NATIVES</t>
  </si>
  <si>
    <t xml:space="preserve">Itory appears</t>
  </si>
  <si>
    <t xml:space="preserve">Sail Gold Ship</t>
  </si>
  <si>
    <t xml:space="preserve">RJ @ WATERMIA WEST</t>
  </si>
  <si>
    <t xml:space="preserve">Sleep on Gold Ship*</t>
  </si>
  <si>
    <t xml:space="preserve">Enter gold ship</t>
  </si>
  <si>
    <t xml:space="preserve">Find Kara at Inca</t>
  </si>
  <si>
    <t xml:space="preserve">Leave Moon Tribe w/Lilly</t>
  </si>
  <si>
    <t xml:space="preserve">Leave Lilly at Moon Tribe</t>
  </si>
  <si>
    <t xml:space="preserve">Got Inca Statue B</t>
  </si>
  <si>
    <t xml:space="preserve">* Controls background layer in sea encounters</t>
  </si>
  <si>
    <t xml:space="preserve">Kara at Freejia</t>
  </si>
  <si>
    <t xml:space="preserve">Kara at Coast</t>
  </si>
  <si>
    <t xml:space="preserve">Freejia HP Jewel</t>
  </si>
  <si>
    <t xml:space="preserve">Freejia herb</t>
  </si>
  <si>
    <t xml:space="preserve">Gold Ship alt palette</t>
  </si>
  <si>
    <t xml:space="preserve">Lance on Gold Ship</t>
  </si>
  <si>
    <t xml:space="preserve">Awake from Dream</t>
  </si>
  <si>
    <t xml:space="preserve">Got Memory Melody</t>
  </si>
  <si>
    <t xml:space="preserve">Find Mine Key A</t>
  </si>
  <si>
    <t xml:space="preserve">Use Mine Key B</t>
  </si>
  <si>
    <t xml:space="preserve">Use Mine Key A</t>
  </si>
  <si>
    <t xml:space="preserve">Freejia: Find laborer</t>
  </si>
  <si>
    <t xml:space="preserve">Snitch on laborer</t>
  </si>
  <si>
    <t xml:space="preserve">Lilly in Freejia</t>
  </si>
  <si>
    <t xml:space="preserve">Find Erik</t>
  </si>
  <si>
    <t xml:space="preserve">Freejia: Talk to Sam</t>
  </si>
  <si>
    <t xml:space="preserve">Freejia: Rescue Erik</t>
  </si>
  <si>
    <t xml:space="preserve">Enter Freejia</t>
  </si>
  <si>
    <t xml:space="preserve">Place Crystal Ball SW</t>
  </si>
  <si>
    <t xml:space="preserve">Place Crystal Ball NW</t>
  </si>
  <si>
    <t xml:space="preserve">Place Crystal Ball SE</t>
  </si>
  <si>
    <t xml:space="preserve">Place Crystal Ball NE</t>
  </si>
  <si>
    <t xml:space="preserve">Lilly @ Seaside</t>
  </si>
  <si>
    <t xml:space="preserve">Enter Seaside Palace</t>
  </si>
  <si>
    <t xml:space="preserve">Meet Neil</t>
  </si>
  <si>
    <t xml:space="preserve">Enter Inca Ruins</t>
  </si>
  <si>
    <t xml:space="preserve">Enter Sky Garden</t>
  </si>
  <si>
    <t xml:space="preserve">Enter Mine</t>
  </si>
  <si>
    <t xml:space="preserve">Open Elevator</t>
  </si>
  <si>
    <t xml:space="preserve">Restore Lance's memory</t>
  </si>
  <si>
    <t xml:space="preserve">Enter Mu</t>
  </si>
  <si>
    <t xml:space="preserve">Man at Coast</t>
  </si>
  <si>
    <t xml:space="preserve">Enter Angel Village</t>
  </si>
  <si>
    <t xml:space="preserve">Lance @ Angel Village</t>
  </si>
  <si>
    <t xml:space="preserve">Seaside voice 3</t>
  </si>
  <si>
    <t xml:space="preserve">Seaside voice 2</t>
  </si>
  <si>
    <t xml:space="preserve">Seaside voice 1</t>
  </si>
  <si>
    <t xml:space="preserve">Purify seaside</t>
  </si>
  <si>
    <t xml:space="preserve">Got Hope Statue 2</t>
  </si>
  <si>
    <t xml:space="preserve">Place Hope Statue 2</t>
  </si>
  <si>
    <t xml:space="preserve">Lilly in Mu Tunnel</t>
  </si>
  <si>
    <t xml:space="preserve">Lilly in Mu 2</t>
  </si>
  <si>
    <t xml:space="preserve">Place Hope Statue 1</t>
  </si>
  <si>
    <t xml:space="preserve">Lilly in Mu 1</t>
  </si>
  <si>
    <t xml:space="preserve">Got Hope Statue 1</t>
  </si>
  <si>
    <t xml:space="preserve">Visited Mu west map</t>
  </si>
  <si>
    <t xml:space="preserve">Meet vampires</t>
  </si>
  <si>
    <t xml:space="preserve">See bomb</t>
  </si>
  <si>
    <t xml:space="preserve">Got Mu Key</t>
  </si>
  <si>
    <t xml:space="preserve">Seaside room 2</t>
  </si>
  <si>
    <t xml:space="preserve">Seaside room 1</t>
  </si>
  <si>
    <t xml:space="preserve">Enter Mu burial</t>
  </si>
  <si>
    <t xml:space="preserve">Place Rama 2</t>
  </si>
  <si>
    <t xml:space="preserve">Place Rama 1</t>
  </si>
  <si>
    <t xml:space="preserve">Read Lance's letter</t>
  </si>
  <si>
    <t xml:space="preserve">Enter Watermia</t>
  </si>
  <si>
    <t xml:space="preserve">End Ishtar encounter</t>
  </si>
  <si>
    <t xml:space="preserve">Passed Ishtar test</t>
  </si>
  <si>
    <t xml:space="preserve">Kara rescued</t>
  </si>
  <si>
    <t xml:space="preserve">Ishtar in painting</t>
  </si>
  <si>
    <t xml:space="preserve">NPCs after vampires</t>
  </si>
  <si>
    <t xml:space="preserve">Win Russian Glass</t>
  </si>
  <si>
    <t xml:space="preserve">Night  Watermia*</t>
  </si>
  <si>
    <t xml:space="preserve">Get Will</t>
  </si>
  <si>
    <t xml:space="preserve">Leave Watermia</t>
  </si>
  <si>
    <t xml:space="preserve">Lilly @ Great Wall</t>
  </si>
  <si>
    <t xml:space="preserve">Got Lance's Letter</t>
  </si>
  <si>
    <t xml:space="preserve">Lance &amp; Lilly scene</t>
  </si>
  <si>
    <t xml:space="preserve">Meet Lance's dad</t>
  </si>
  <si>
    <t xml:space="preserve">Learn Mt. Kress location</t>
  </si>
  <si>
    <t xml:space="preserve">Meet Euro geniuses</t>
  </si>
  <si>
    <t xml:space="preserve">Enter Great Wall</t>
  </si>
  <si>
    <t xml:space="preserve">RJ @ ISHTAR</t>
  </si>
  <si>
    <t xml:space="preserve">RJ @ ANGEL DANCE</t>
  </si>
  <si>
    <t xml:space="preserve">GOT THE APPLE</t>
  </si>
  <si>
    <t xml:space="preserve">Pick up necklace 2</t>
  </si>
  <si>
    <t xml:space="preserve">Pick up necklace 1</t>
  </si>
  <si>
    <t xml:space="preserve">Friezer dead</t>
  </si>
  <si>
    <t xml:space="preserve">Man in Hidden House</t>
  </si>
  <si>
    <t xml:space="preserve">Enter Euro</t>
  </si>
  <si>
    <t xml:space="preserve">Arrive @ guest room</t>
  </si>
  <si>
    <t xml:space="preserve">Rescue Laborer 4 (get key)</t>
  </si>
  <si>
    <t xml:space="preserve">Rescue Laborer 3 (get key)</t>
  </si>
  <si>
    <t xml:space="preserve">Rescue Laborer 2</t>
  </si>
  <si>
    <t xml:space="preserve">Rescue Laborer 1</t>
  </si>
  <si>
    <t xml:space="preserve">Captured by natives</t>
  </si>
  <si>
    <t xml:space="preserve">Enter Natives' hut</t>
  </si>
  <si>
    <t xml:space="preserve">Kara @ Natives' village</t>
  </si>
  <si>
    <t xml:space="preserve">Enter Natives' village</t>
  </si>
  <si>
    <t xml:space="preserve">Hamlet in Euro</t>
  </si>
  <si>
    <t xml:space="preserve">Talk to Neil after parents</t>
  </si>
  <si>
    <t xml:space="preserve">Friends @ Angel</t>
  </si>
  <si>
    <t xml:space="preserve">Expose Neil's parents</t>
  </si>
  <si>
    <t xml:space="preserve">Enter bright room</t>
  </si>
  <si>
    <t xml:space="preserve">Travel to Dao</t>
  </si>
  <si>
    <t xml:space="preserve">Visited Wat pit</t>
  </si>
  <si>
    <t xml:space="preserve">Neil @ Dao**</t>
  </si>
  <si>
    <t xml:space="preserve">Enter Ankor Wat</t>
  </si>
  <si>
    <t xml:space="preserve">Will's Mom @ Natives'</t>
  </si>
  <si>
    <t xml:space="preserve">Ankor Wat on map</t>
  </si>
  <si>
    <t xml:space="preserve">Sleep @ Natives' hut</t>
  </si>
  <si>
    <t xml:space="preserve">** Also makes Shadow appear in Pyramid</t>
  </si>
  <si>
    <t xml:space="preserve">Statue native 1</t>
  </si>
  <si>
    <t xml:space="preserve">Got Gorgon Flower</t>
  </si>
  <si>
    <t xml:space="preserve">GOT AURA</t>
  </si>
  <si>
    <t xml:space="preserve">RJ @ WATERMIA GAMBLE</t>
  </si>
  <si>
    <t xml:space="preserve">Killed Jackal</t>
  </si>
  <si>
    <t xml:space="preserve">Got black glasses</t>
  </si>
  <si>
    <t xml:space="preserve">Inca: Statue destroyed</t>
  </si>
  <si>
    <t xml:space="preserve">Got letter and journal</t>
  </si>
  <si>
    <t xml:space="preserve">Got Hieroglyph 6</t>
  </si>
  <si>
    <t xml:space="preserve">Got Hieroglyph 5</t>
  </si>
  <si>
    <t xml:space="preserve">Got Hieroglyph 4</t>
  </si>
  <si>
    <t xml:space="preserve">Got Hieroglyph 3</t>
  </si>
  <si>
    <t xml:space="preserve">Got Hieroglyph 2</t>
  </si>
  <si>
    <t xml:space="preserve">Got Hieroglyph 1</t>
  </si>
  <si>
    <t xml:space="preserve">Statue native 3</t>
  </si>
  <si>
    <t xml:space="preserve">Statue native 2</t>
  </si>
  <si>
    <t xml:space="preserve">Natives’ intermediate plot</t>
  </si>
  <si>
    <t xml:space="preserve">Save all native statues</t>
  </si>
  <si>
    <t xml:space="preserve">RJ @ DAO</t>
  </si>
  <si>
    <t xml:space="preserve">RJ @ NATIVES</t>
  </si>
  <si>
    <t xml:space="preserve">RJ @ EURO SLAVE</t>
  </si>
  <si>
    <t xml:space="preserve">RJ @ EURO HOUSE</t>
  </si>
  <si>
    <t xml:space="preserve">Seen Great Wall ending</t>
  </si>
  <si>
    <t xml:space="preserve">RJ from fisherman</t>
  </si>
  <si>
    <t xml:space="preserve">Talk to Ann</t>
  </si>
  <si>
    <t xml:space="preserve">RJ @ PYRAMID</t>
  </si>
  <si>
    <t xml:space="preserve">Kara @ Babel 1</t>
  </si>
  <si>
    <t xml:space="preserve">See Babel Pillow</t>
  </si>
  <si>
    <t xml:space="preserve">Enter Babel</t>
  </si>
  <si>
    <t xml:space="preserve">Pyramid portal open</t>
  </si>
  <si>
    <t xml:space="preserve">Great Wall complete</t>
  </si>
  <si>
    <t xml:space="preserve">Enter Lilly's room</t>
  </si>
  <si>
    <t xml:space="preserve">Saw Lilly as flower</t>
  </si>
  <si>
    <t xml:space="preserve">Turn into Shadow</t>
  </si>
  <si>
    <t xml:space="preserve">GOT CRYSTAL RING</t>
  </si>
  <si>
    <t xml:space="preserve">Used in credits</t>
  </si>
  <si>
    <t xml:space="preserve">RJ @ BABEL</t>
  </si>
  <si>
    <t xml:space="preserve">3 RJs from Laborer</t>
  </si>
  <si>
    <t xml:space="preserve">RJ @ Palace guard</t>
  </si>
  <si>
    <t xml:space="preserve">Win snake game</t>
  </si>
  <si>
    <t xml:space="preserve">RJ from Native</t>
  </si>
  <si>
    <t xml:space="preserve">RJ from Ann</t>
  </si>
  <si>
    <t xml:space="preserve">Ann apple 2</t>
  </si>
  <si>
    <t xml:space="preserve">Ann apple 1</t>
  </si>
  <si>
    <t xml:space="preserve">RJ from Lance</t>
  </si>
  <si>
    <t xml:space="preserve">RJ @ Freejia creeper</t>
  </si>
  <si>
    <t xml:space="preserve">RJ @ Gold Ship (Seth)</t>
  </si>
  <si>
    <t xml:space="preserve">Give away Journal</t>
  </si>
  <si>
    <t xml:space="preserve">Jeweler reward 6</t>
  </si>
  <si>
    <t xml:space="preserve">Jeweler reward 5</t>
  </si>
  <si>
    <t xml:space="preserve">Jeweler reward 4</t>
  </si>
  <si>
    <t xml:space="preserve">Jeweler reward 3</t>
  </si>
  <si>
    <t xml:space="preserve">Jeweler reward 2</t>
  </si>
  <si>
    <t xml:space="preserve">Jeweler reward 1</t>
  </si>
  <si>
    <t xml:space="preserve">Defeat Solid Arm</t>
  </si>
  <si>
    <t xml:space="preserve">PIECE OF HEART</t>
  </si>
  <si>
    <t xml:space="preserve">Kill Solid Arm</t>
  </si>
  <si>
    <t xml:space="preserve">WEARING SUNGLASSES</t>
  </si>
  <si>
    <t xml:space="preserve">Is Kara in Mine; AGP2 beaten</t>
  </si>
  <si>
    <t xml:space="preserve">Pyramid tiles 2</t>
  </si>
  <si>
    <t xml:space="preserve">Pyramid tiles 1</t>
  </si>
  <si>
    <t xml:space="preserve">Euro Shop Dark Medicine</t>
  </si>
  <si>
    <t xml:space="preserve">Euro Shop Life Medicine</t>
  </si>
  <si>
    <t xml:space="preserve">Returning from inv</t>
  </si>
  <si>
    <t xml:space="preserve">Mystic Statue 6</t>
  </si>
  <si>
    <t xml:space="preserve">Mystic Statue 5</t>
  </si>
  <si>
    <t xml:space="preserve">Mystic Statue 4</t>
  </si>
  <si>
    <t xml:space="preserve">Mystic Statue 3</t>
  </si>
  <si>
    <t xml:space="preserve">Mystic Statue 2</t>
  </si>
  <si>
    <t xml:space="preserve">Mystic Statue 1</t>
  </si>
  <si>
    <t xml:space="preserve">$100</t>
  </si>
  <si>
    <t xml:space="preserve">Remove prison door</t>
  </si>
  <si>
    <t xml:space="preserve">Tunnel bat door</t>
  </si>
  <si>
    <t xml:space="preserve">Tunnel switch</t>
  </si>
  <si>
    <t xml:space="preserve">Tunnel: Door 2</t>
  </si>
  <si>
    <t xml:space="preserve">Tunnel: Door 1</t>
  </si>
  <si>
    <t xml:space="preserve">Tunnel: Skeleton Cage</t>
  </si>
  <si>
    <t xml:space="preserve">Inca: ladder 1</t>
  </si>
  <si>
    <t xml:space="preserve">Inca: ladder 3</t>
  </si>
  <si>
    <t xml:space="preserve">Inca: ladder 2</t>
  </si>
  <si>
    <t xml:space="preserve">Inca: Ramp 2</t>
  </si>
  <si>
    <t xml:space="preserve">Inca: Ramp 1</t>
  </si>
  <si>
    <t xml:space="preserve">Inca: Stairs 1</t>
  </si>
  <si>
    <t xml:space="preserve">Inca: door with statues</t>
  </si>
  <si>
    <t xml:space="preserve">Tunnel: Skeleton pass 1</t>
  </si>
  <si>
    <t xml:space="preserve">Tunnel: Dark Space</t>
  </si>
  <si>
    <t xml:space="preserve">Tunnel: Bridge</t>
  </si>
  <si>
    <t xml:space="preserve">Tunnel: Fredan's switch</t>
  </si>
  <si>
    <t xml:space="preserve">Tunnel: Lilly's door</t>
  </si>
  <si>
    <t xml:space="preserve">Inca: tile room open</t>
  </si>
  <si>
    <t xml:space="preserve">Inca: Stairs 2</t>
  </si>
  <si>
    <t xml:space="preserve">Castoth door open</t>
  </si>
  <si>
    <t xml:space="preserve">Remove Inca Statue B</t>
  </si>
  <si>
    <t xml:space="preserve">Steps to Inca Statue B</t>
  </si>
  <si>
    <t xml:space="preserve">Remove Inca Statue A</t>
  </si>
  <si>
    <t xml:space="preserve">Itory cave dash spot</t>
  </si>
  <si>
    <t xml:space="preserve">Can leave Castle</t>
  </si>
  <si>
    <t xml:space="preserve">Tunnel: Skeleton pass 2</t>
  </si>
  <si>
    <t xml:space="preserve">Sky Garden pegs 1</t>
  </si>
  <si>
    <t xml:space="preserve">Sky Garden barrier 3</t>
  </si>
  <si>
    <t xml:space="preserve">Mine barrier 2 (Friar)</t>
  </si>
  <si>
    <t xml:space="preserve">Mine barrier 1</t>
  </si>
  <si>
    <t xml:space="preserve">Mine trap door open</t>
  </si>
  <si>
    <t xml:space="preserve">Sky Garden pegs 2</t>
  </si>
  <si>
    <t xml:space="preserve">Sky Garden pegs 3</t>
  </si>
  <si>
    <t xml:space="preserve">Sky Garden barrier 4</t>
  </si>
  <si>
    <t xml:space="preserve">Sky Garden steps</t>
  </si>
  <si>
    <t xml:space="preserve">Sky Garden barrier 1</t>
  </si>
  <si>
    <t xml:space="preserve">Mine barrier 5</t>
  </si>
  <si>
    <t xml:space="preserve">Mine barrier 3</t>
  </si>
  <si>
    <t xml:space="preserve">Mine barrier 4</t>
  </si>
  <si>
    <t xml:space="preserve">Mine: Dash wall to DS</t>
  </si>
  <si>
    <t xml:space="preserve">Mine: Reveal DS</t>
  </si>
  <si>
    <t xml:space="preserve">Sky Garden barrier 5</t>
  </si>
  <si>
    <t xml:space="preserve">Sky Garden barrier 2</t>
  </si>
  <si>
    <t xml:space="preserve">Mu blockade 3</t>
  </si>
  <si>
    <t xml:space="preserve">Mu blockade 2</t>
  </si>
  <si>
    <t xml:space="preserve">Mu blockade 1</t>
  </si>
  <si>
    <t xml:space="preserve">Seaside purity coffin</t>
  </si>
  <si>
    <t xml:space="preserve">Seaside empty coffin</t>
  </si>
  <si>
    <t xml:space="preserve">Rama door open</t>
  </si>
  <si>
    <t xml:space="preserve">Mu door open</t>
  </si>
  <si>
    <t xml:space="preserve">Bomb barrier 2</t>
  </si>
  <si>
    <t xml:space="preserve">Bomb barrier 1</t>
  </si>
  <si>
    <t xml:space="preserve">Angel hidden door 2</t>
  </si>
  <si>
    <t xml:space="preserve">Angel hidden door 1</t>
  </si>
  <si>
    <t xml:space="preserve">Mu blockade 4</t>
  </si>
  <si>
    <t xml:space="preserve">Mu head 2</t>
  </si>
  <si>
    <t xml:space="preserve">Mu head 1</t>
  </si>
  <si>
    <t xml:space="preserve">Ishtar door 7</t>
  </si>
  <si>
    <t xml:space="preserve">Ishtar door 6</t>
  </si>
  <si>
    <t xml:space="preserve">Ishtar door 5</t>
  </si>
  <si>
    <t xml:space="preserve">Ishtar door 4</t>
  </si>
  <si>
    <t xml:space="preserve">Ishtar door 3</t>
  </si>
  <si>
    <t xml:space="preserve">Ishtar door 2</t>
  </si>
  <si>
    <t xml:space="preserve">Ishtar door 1</t>
  </si>
  <si>
    <t xml:space="preserve">Great Wall barrier 2</t>
  </si>
  <si>
    <t xml:space="preserve">Great Wall barrier 1</t>
  </si>
  <si>
    <t xml:space="preserve">Ishtar chest</t>
  </si>
  <si>
    <t xml:space="preserve">Ishtar door 8</t>
  </si>
  <si>
    <t xml:space="preserve">Use mushroom drops 3</t>
  </si>
  <si>
    <t xml:space="preserve">Use mushroom drops 1</t>
  </si>
  <si>
    <t xml:space="preserve">Use mushroom drops 2</t>
  </si>
  <si>
    <t xml:space="preserve">Ankor Wat barrier 1</t>
  </si>
  <si>
    <t xml:space="preserve">Ankor Wat trap door</t>
  </si>
  <si>
    <t xml:space="preserve">Ankor Wat stairs 2</t>
  </si>
  <si>
    <t xml:space="preserve">Ankor Wat stairs 1</t>
  </si>
  <si>
    <t xml:space="preserve">Ankor Wat slide barrier 1</t>
  </si>
  <si>
    <t xml:space="preserve">Sand Fanger ladder</t>
  </si>
  <si>
    <t xml:space="preserve">Mt. Temple barrier 1</t>
  </si>
  <si>
    <t xml:space="preserve">Babel Vampires done</t>
  </si>
  <si>
    <t xml:space="preserve">Babel Viper done</t>
  </si>
  <si>
    <t xml:space="preserve">Babel Castoth done</t>
  </si>
  <si>
    <t xml:space="preserve">Great Wall Hidden DS</t>
  </si>
  <si>
    <t xml:space="preserve">Pyramid DS appears</t>
  </si>
  <si>
    <t xml:space="preserve">Mine door open</t>
  </si>
  <si>
    <t xml:space="preserve">Babel Mummy done</t>
  </si>
  <si>
    <t xml:space="preserve">Babel Sand Fanger done</t>
  </si>
  <si>
    <t xml:space="preserve">Castoth not accessbile</t>
  </si>
  <si>
    <t xml:space="preserve">$200</t>
  </si>
  <si>
    <t xml:space="preserve">Monster item 1</t>
  </si>
  <si>
    <t xml:space="preserve">Monster item 9</t>
  </si>
  <si>
    <t xml:space="preserve">Monster item 8</t>
  </si>
  <si>
    <t xml:space="preserve">Monster item 7</t>
  </si>
  <si>
    <t xml:space="preserve">Monster item 6</t>
  </si>
  <si>
    <t xml:space="preserve">Monster item 5</t>
  </si>
  <si>
    <t xml:space="preserve">Monster item 4</t>
  </si>
  <si>
    <t xml:space="preserve">Monster item 3</t>
  </si>
  <si>
    <t xml:space="preserve">Monster item 2</t>
  </si>
  <si>
    <t xml:space="preserve">Monstesr item $11</t>
  </si>
  <si>
    <t xml:space="preserve">Monster item $10</t>
  </si>
  <si>
    <t xml:space="preserve">Monstesr item $0F</t>
  </si>
  <si>
    <t xml:space="preserve">Monster item $0E</t>
  </si>
  <si>
    <t xml:space="preserve">Monstesr item $0D</t>
  </si>
  <si>
    <t xml:space="preserve">Monster item $0C</t>
  </si>
  <si>
    <t xml:space="preserve">Monstesr item $0B</t>
  </si>
  <si>
    <t xml:space="preserve">Monster item $0A</t>
  </si>
  <si>
    <t xml:space="preserve">Monster item $19</t>
  </si>
  <si>
    <t xml:space="preserve">Monster item $18</t>
  </si>
  <si>
    <t xml:space="preserve">Monster item $17</t>
  </si>
  <si>
    <t xml:space="preserve">Monster item $16</t>
  </si>
  <si>
    <t xml:space="preserve">Monster item $15</t>
  </si>
  <si>
    <t xml:space="preserve">Monster item $14</t>
  </si>
  <si>
    <t xml:space="preserve">Monster item $13</t>
  </si>
  <si>
    <t xml:space="preserve">Monster item $12</t>
  </si>
  <si>
    <t xml:space="preserve">Gem Reward Amount 1</t>
  </si>
  <si>
    <t xml:space="preserve">Gem Reward Amount 2</t>
  </si>
  <si>
    <t xml:space="preserve">Gem Reward Amount 3</t>
  </si>
  <si>
    <t xml:space="preserve">Gem Reward Amount 4</t>
  </si>
  <si>
    <t xml:space="preserve">Gem Reward Amount 5</t>
  </si>
  <si>
    <t xml:space="preserve">Gem Reward Amount 6</t>
  </si>
  <si>
    <t xml:space="preserve">Gem Reward Amount 7</t>
  </si>
  <si>
    <t xml:space="preserve">$280</t>
  </si>
  <si>
    <t xml:space="preserve">RJ @ Ishtar's</t>
  </si>
  <si>
    <t xml:space="preserve">RJ @ Angel Village</t>
  </si>
  <si>
    <t xml:space="preserve">RJ @ Freejia hotel</t>
  </si>
  <si>
    <t xml:space="preserve">RJ @ coast</t>
  </si>
  <si>
    <t xml:space="preserve">RJ @ Itory</t>
  </si>
  <si>
    <t xml:space="preserve">RJ @ tunnel</t>
  </si>
  <si>
    <t xml:space="preserve">RJ @ school</t>
  </si>
  <si>
    <t xml:space="preserve">RJ @ Lance house</t>
  </si>
  <si>
    <t xml:space="preserve">RJ @ Dao</t>
  </si>
  <si>
    <t xml:space="preserve">RJ @ natives' village</t>
  </si>
  <si>
    <t xml:space="preserve">RJ @ Euro slave trade</t>
  </si>
  <si>
    <t xml:space="preserve">RJ @ Euro behind house</t>
  </si>
  <si>
    <t xml:space="preserve">RJ @ Watermia casino</t>
  </si>
  <si>
    <t xml:space="preserve">RJ @ Watermia W</t>
  </si>
  <si>
    <t xml:space="preserve">Monstesr item $21</t>
  </si>
  <si>
    <t xml:space="preserve">Monster item $20</t>
  </si>
  <si>
    <t xml:space="preserve">Monstesr item $1F</t>
  </si>
  <si>
    <t xml:space="preserve">Monster item $1E</t>
  </si>
  <si>
    <t xml:space="preserve">Monstesr item $1D</t>
  </si>
  <si>
    <t xml:space="preserve">Monster item $1C</t>
  </si>
  <si>
    <t xml:space="preserve">Monstesr item $1B</t>
  </si>
  <si>
    <t xml:space="preserve">Monster item $1A</t>
  </si>
  <si>
    <t xml:space="preserve">Monster item $29</t>
  </si>
  <si>
    <t xml:space="preserve">Monster item $28</t>
  </si>
  <si>
    <t xml:space="preserve">Monster item $27</t>
  </si>
  <si>
    <t xml:space="preserve">Monster item $26</t>
  </si>
  <si>
    <t xml:space="preserve">Monster item $25</t>
  </si>
  <si>
    <t xml:space="preserve">Monster item $24</t>
  </si>
  <si>
    <t xml:space="preserve">Monster item $23</t>
  </si>
  <si>
    <t xml:space="preserve">Monster item $22</t>
  </si>
  <si>
    <t xml:space="preserve">Monster item $2A</t>
  </si>
  <si>
    <t xml:space="preserve">$2B0</t>
  </si>
  <si>
    <t xml:space="preserve">DS item 6</t>
  </si>
  <si>
    <t xml:space="preserve">DS item 5</t>
  </si>
  <si>
    <t xml:space="preserve">DS item 4</t>
  </si>
  <si>
    <t xml:space="preserve">DS item 3</t>
  </si>
  <si>
    <t xml:space="preserve">DS item 2</t>
  </si>
  <si>
    <t xml:space="preserve">DS item 1</t>
  </si>
  <si>
    <t xml:space="preserve">Right Hope Room used</t>
  </si>
  <si>
    <t xml:space="preserve">Left Hope Room used</t>
  </si>
  <si>
    <t xml:space="preserve">Hieroglyph Order 1</t>
  </si>
  <si>
    <t xml:space="preserve">Hieroglyph Order 2</t>
  </si>
  <si>
    <t xml:space="preserve">Hieroglyph Order 3</t>
  </si>
  <si>
    <t xml:space="preserve">Hieroglyph Order 4</t>
  </si>
  <si>
    <t xml:space="preserve">Hieroglyph Order 5</t>
  </si>
  <si>
    <t xml:space="preserve">Hieroglyph Order 6</t>
  </si>
  <si>
    <t xml:space="preserve">Logic Mode (10 = Completable, 20 = Beatable, 40 = Chaos)</t>
  </si>
  <si>
    <t xml:space="preserve">Kara Location (01 = Ed's, 02 = Mine, 03 = Angel, 04 = Kress, 05 = Ankor Wat)</t>
  </si>
  <si>
    <t xml:space="preserve">Open Mode Flag</t>
  </si>
  <si>
    <t xml:space="preserve">Player Choice Flag</t>
  </si>
  <si>
    <t xml:space="preserve">Statue 6 Required</t>
  </si>
  <si>
    <t xml:space="preserve">Statue 5 Required</t>
  </si>
  <si>
    <t xml:space="preserve">Statue 4 Required</t>
  </si>
  <si>
    <t xml:space="preserve">Statue 3 Required</t>
  </si>
  <si>
    <t xml:space="preserve">Statue 2 Required</t>
  </si>
  <si>
    <t xml:space="preserve">Statue 1 Required</t>
  </si>
  <si>
    <t xml:space="preserve">$300</t>
  </si>
  <si>
    <t xml:space="preserve">$400</t>
  </si>
  <si>
    <t xml:space="preserve">$500</t>
  </si>
  <si>
    <t xml:space="preserve">Mummy Queen defeated</t>
  </si>
  <si>
    <t xml:space="preserve">Fanger defeated</t>
  </si>
  <si>
    <t xml:space="preserve">Vampires defeated</t>
  </si>
  <si>
    <t xml:space="preserve">Viper defeated</t>
  </si>
  <si>
    <t xml:space="preserve">Castoth defeated</t>
  </si>
  <si>
    <t xml:space="preserve">Earth Quaker</t>
  </si>
  <si>
    <t xml:space="preserve">Aura Barrier</t>
  </si>
  <si>
    <t xml:space="preserve">Dark Friar</t>
  </si>
  <si>
    <t xml:space="preserve">Spin Dash</t>
  </si>
  <si>
    <t xml:space="preserve">Psycho Slide</t>
  </si>
  <si>
    <t xml:space="preserve">Psycho Dash</t>
  </si>
  <si>
    <t xml:space="preserve">Local progression state (e.g. Ishtar)</t>
  </si>
  <si>
    <t xml:space="preserve">Stacked herb count</t>
  </si>
  <si>
    <t xml:space="preserve">Local progression state (e.g. snake count)</t>
  </si>
  <si>
    <t xml:space="preserve">Red Jewels Collected (BCD Format)</t>
  </si>
  <si>
    <t xml:space="preserve">Inventory Slot 1</t>
  </si>
  <si>
    <t xml:space="preserve">Inventory Slot 2</t>
  </si>
  <si>
    <t xml:space="preserve">Inventory Slot 3</t>
  </si>
  <si>
    <t xml:space="preserve">Inventory Slot 4</t>
  </si>
  <si>
    <t xml:space="preserve">Inventory Slot 5</t>
  </si>
  <si>
    <t xml:space="preserve">Inventory Slot 6</t>
  </si>
  <si>
    <t xml:space="preserve">Inventory Slot 7</t>
  </si>
  <si>
    <t xml:space="preserve">Inventory Slot 8</t>
  </si>
  <si>
    <t xml:space="preserve">Inventory Slot 9</t>
  </si>
  <si>
    <t xml:space="preserve">Inventory Slot 10</t>
  </si>
  <si>
    <t xml:space="preserve">Inventory Slot 11</t>
  </si>
  <si>
    <t xml:space="preserve">Inventory Slot 12</t>
  </si>
  <si>
    <t xml:space="preserve">Inventory Slot 13</t>
  </si>
  <si>
    <t xml:space="preserve">Inventory Slot 14</t>
  </si>
  <si>
    <t xml:space="preserve">Inventory Slot 15</t>
  </si>
  <si>
    <t xml:space="preserve">Inventory Slot 16</t>
  </si>
  <si>
    <t xml:space="preserve">Active Item Slot ID</t>
  </si>
  <si>
    <t xml:space="preserve">Active Item</t>
  </si>
  <si>
    <t xml:space="preserve">Total Life Energy</t>
  </si>
  <si>
    <t xml:space="preserve">Current Life Energy</t>
  </si>
  <si>
    <t xml:space="preserve">Hero Current Form (00=Will, 01=Fredan, 02=Shadow)</t>
  </si>
  <si>
    <t xml:space="preserve">Number of DP</t>
  </si>
  <si>
    <t xml:space="preserve">Extra lives</t>
  </si>
  <si>
    <t xml:space="preserve">Hero Defense Value (0xFF = OHKO)</t>
  </si>
  <si>
    <t xml:space="preserve">Hero Attack Value</t>
  </si>
  <si>
    <t xml:space="preserve">Inventory Menu Hover-Over Item</t>
  </si>
  <si>
    <t xml:space="preserve">Enemies on screen (hex)</t>
  </si>
  <si>
    <t xml:space="preserve">Enemies on screen (BCD)</t>
  </si>
  <si>
    <t xml:space="preserve">Psycho Dash Upgrade Status (0x00 =  no upgrade, 0x01 = upgrade)</t>
  </si>
  <si>
    <t xml:space="preserve">Dark Friar Upgrade Status (0x00 = no upgrade, 0x01 = explodes on impact, 0x02 = explodes on button input)</t>
  </si>
  <si>
    <t xml:space="preserve">HP to fill</t>
  </si>
  <si>
    <t xml:space="preserve">Level Setting (0x00 = Beginner, 0x01 = Intermediate, 0x02 = Advanced, 0x03 = Expert)</t>
  </si>
  <si>
    <t xml:space="preserve">Input Setting (0x00 = Type1, 0x01 = Type2)</t>
  </si>
  <si>
    <t xml:space="preserve">Hieroglyph slot 1 status (FF not filled, 00-05 filled with tile)</t>
  </si>
  <si>
    <t xml:space="preserve">Hieroglyph slot 2 status (FF not filled, 00-05 filled with tile)</t>
  </si>
  <si>
    <t xml:space="preserve">Hieroglyph slot 3 status (FF not filled, 00-05 filled with tile)</t>
  </si>
  <si>
    <t xml:space="preserve">Hieroglyph slot 4 status (FF not filled, 00-05 filled with tile)</t>
  </si>
  <si>
    <t xml:space="preserve">$980</t>
  </si>
  <si>
    <t xml:space="preserve">Hieroglyph slot 5 status (FF not filled, 00-05 filled with tile)</t>
  </si>
  <si>
    <t xml:space="preserve">Hieroglyph slot 6 status (FF not filled, 00-05 filled with tile)</t>
  </si>
  <si>
    <t xml:space="preserve">$9a0</t>
  </si>
  <si>
    <t xml:space="preserve">Freejia DS</t>
  </si>
  <si>
    <t xml:space="preserve">Castoth DS</t>
  </si>
  <si>
    <t xml:space="preserve">Inca slug DS</t>
  </si>
  <si>
    <t xml:space="preserve">Inca melody DS</t>
  </si>
  <si>
    <t xml:space="preserve">Itory DS</t>
  </si>
  <si>
    <t xml:space="preserve">EdDg final DS</t>
  </si>
  <si>
    <t xml:space="preserve">Prison DS</t>
  </si>
  <si>
    <t xml:space="preserve">Visited Cape DS</t>
  </si>
  <si>
    <t xml:space="preserve">SeaPal DS</t>
  </si>
  <si>
    <t xml:space="preserve">Sky darkside DS</t>
  </si>
  <si>
    <t xml:space="preserve">Sky fence DS</t>
  </si>
  <si>
    <t xml:space="preserve">Sky blue room DS</t>
  </si>
  <si>
    <t xml:space="preserve">Sky foyer DS</t>
  </si>
  <si>
    <t xml:space="preserve">Mine behind wall DS</t>
  </si>
  <si>
    <t xml:space="preserve">Mine near wall DS</t>
  </si>
  <si>
    <t xml:space="preserve">Mine hidden DS</t>
  </si>
  <si>
    <t xml:space="preserve">$9b0</t>
  </si>
  <si>
    <t xml:space="preserve">Euro DS</t>
  </si>
  <si>
    <t xml:space="preserve">Great Wall final DS</t>
  </si>
  <si>
    <t xml:space="preserve">Great Wall Spin Dash DS</t>
  </si>
  <si>
    <t xml:space="preserve">Great Wall DS 1</t>
  </si>
  <si>
    <t xml:space="preserve">Watermia DS</t>
  </si>
  <si>
    <t xml:space="preserve">Angel Village DS</t>
  </si>
  <si>
    <t xml:space="preserve">Mu W DS</t>
  </si>
  <si>
    <t xml:space="preserve">Mu NE DS</t>
  </si>
  <si>
    <t xml:space="preserve">Dao DS</t>
  </si>
  <si>
    <t xml:space="preserve">Wat final DS</t>
  </si>
  <si>
    <t xml:space="preserve">Wat east DS</t>
  </si>
  <si>
    <t xml:space="preserve">Wat Garden DS</t>
  </si>
  <si>
    <t xml:space="preserve">Natives’ DS</t>
  </si>
  <si>
    <t xml:space="preserve">Kress DS 3</t>
  </si>
  <si>
    <t xml:space="preserve">Kress DS 2</t>
  </si>
  <si>
    <t xml:space="preserve">Kress DS 1</t>
  </si>
  <si>
    <t xml:space="preserve">$9c0</t>
  </si>
  <si>
    <t xml:space="preserve">Babel upper DS</t>
  </si>
  <si>
    <t xml:space="preserve">Babel lower DS</t>
  </si>
  <si>
    <t xml:space="preserve">Pymd lower DS</t>
  </si>
  <si>
    <t xml:space="preserve">Pymd upper DS</t>
  </si>
  <si>
    <t xml:space="preserve">$9d0</t>
  </si>
  <si>
    <t xml:space="preserve">Inf. Inv. Setting in use</t>
  </si>
  <si>
    <t xml:space="preserve">ApoGaia stored herb count</t>
  </si>
  <si>
    <t xml:space="preserve">Number of deaths</t>
  </si>
  <si>
    <t xml:space="preserve">Hope Statue stack count</t>
  </si>
  <si>
    <t xml:space="preserve">Rama Statue stack count</t>
  </si>
  <si>
    <t xml:space="preserve">Mushroom Drops stack count</t>
  </si>
  <si>
    <t xml:space="preserve">Crystal Balls stack count</t>
  </si>
  <si>
    <t xml:space="preserve">Red Jewels stack count</t>
  </si>
  <si>
    <t xml:space="preserve">Index of last DS visited</t>
  </si>
  <si>
    <t xml:space="preserve">DS warp selection index</t>
  </si>
  <si>
    <t xml:space="preserve">Text branch index</t>
  </si>
  <si>
    <t xml:space="preserve">Slow text switch for item get</t>
  </si>
  <si>
    <t xml:space="preserve">Maxed out stat switch for Z3 items</t>
  </si>
  <si>
    <t xml:space="preserve">Change To…</t>
  </si>
  <si>
    <t xml:space="preserve">Set List</t>
  </si>
  <si>
    <t xml:space="preserve">Enter seaside cave</t>
  </si>
  <si>
    <t xml:space="preserve">Enter Erik's house</t>
  </si>
  <si>
    <t xml:space="preserve">Enter Lance's house</t>
  </si>
  <si>
    <t xml:space="preserve">Enter Will's house</t>
  </si>
  <si>
    <t xml:space="preserve">Enter Seth's house</t>
  </si>
  <si>
    <t xml:space="preserve">FF</t>
  </si>
  <si>
    <t xml:space="preserve">3E</t>
  </si>
  <si>
    <t xml:space="preserve">04</t>
  </si>
  <si>
    <t xml:space="preserve">80</t>
  </si>
  <si>
    <t xml:space="preserve">First convo with Lola</t>
  </si>
  <si>
    <t xml:space="preserve">First convo with Lilly</t>
  </si>
  <si>
    <t xml:space="preserve">FC</t>
  </si>
  <si>
    <t xml:space="preserve">Hear elder's voice</t>
  </si>
  <si>
    <t xml:space="preserve">02</t>
  </si>
  <si>
    <t xml:space="preserve">Talk to Ship Queen</t>
  </si>
  <si>
    <t xml:space="preserve">EE</t>
  </si>
  <si>
    <t xml:space="preserve">C0</t>
  </si>
  <si>
    <t xml:space="preserve">03</t>
  </si>
  <si>
    <t xml:space="preserve">10</t>
  </si>
  <si>
    <t xml:space="preserve">???</t>
  </si>
  <si>
    <t xml:space="preserve">09</t>
  </si>
  <si>
    <t xml:space="preserve">FE</t>
  </si>
  <si>
    <t xml:space="preserve">DC</t>
  </si>
  <si>
    <t xml:space="preserve">Passed Ishtar tests</t>
  </si>
  <si>
    <t xml:space="preserve">Rescue Laborer 3</t>
  </si>
  <si>
    <t xml:space="preserve">Neil @ Dao</t>
  </si>
  <si>
    <t xml:space="preserve">Talk to Ankor Wat spirit</t>
  </si>
  <si>
    <t xml:space="preserve">Gaia conversation 1</t>
  </si>
  <si>
    <t xml:space="preserve">D0</t>
  </si>
  <si>
    <t xml:space="preserve">First Fredan</t>
  </si>
  <si>
    <t xml:space="preserve">Input allowed?</t>
  </si>
  <si>
    <t xml:space="preserve">Great Wall hidden DS</t>
  </si>
  <si>
    <t xml:space="preserve">Gold ship cutscene</t>
  </si>
  <si>
    <t xml:space="preserve">Resets occasionaly</t>
  </si>
  <si>
    <t xml:space="preserve">??? (changes from 04 to 05 when first Fredan, 0-4 in Inca when statue is broken)</t>
  </si>
  <si>
    <t xml:space="preserve">Number of DP (max 0x3E7 = 999)</t>
  </si>
  <si>
    <t xml:space="preserve">Number of DP (max 0x3E7 = 999) ???</t>
  </si>
  <si>
    <t xml:space="preserve">Hero Defense Value (max 0x63 = 99, 0xFF = OHKO)</t>
  </si>
  <si>
    <t xml:space="preserve">Hero Attack Value (max 0x63 = 99)</t>
  </si>
  <si>
    <t xml:space="preserve">??? (changes as enemies are defeated)</t>
  </si>
  <si>
    <t xml:space="preserve">??? (used by player event)</t>
  </si>
  <si>
    <t xml:space="preserve">Audio Setting (0x00 = Stereo, 0x01 = Mono)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</si>
</sst>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sz val="11"/>
      <color rgb="FF9C6500"/>
      <name val="Calibri"/>
      <family val="0"/>
      <charset val="134"/>
    </font>
    <font>
      <sz val="11"/>
      <color rgb="FF006100"/>
      <name val="Calibri"/>
      <family val="0"/>
      <charset val="134"/>
    </font>
    <font>
      <b val="true"/>
      <sz val="11"/>
      <color rgb="FF006100"/>
      <name val="Calibri"/>
      <family val="0"/>
      <charset val="134"/>
    </font>
    <font>
      <b val="true"/>
      <sz val="11"/>
      <color rgb="FF9C6500"/>
      <name val="Calibri"/>
      <family val="0"/>
      <charset val="134"/>
    </font>
    <font>
      <sz val="11"/>
      <color rgb="FF9C0006"/>
      <name val="Calibri"/>
      <family val="0"/>
      <charset val="134"/>
    </font>
    <font>
      <b val="true"/>
      <sz val="11"/>
      <color rgb="FF9C0006"/>
      <name val="Calibri"/>
      <family val="0"/>
      <charset val="134"/>
    </font>
    <font>
      <sz val="11"/>
      <color rgb="FF9C000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50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>
        <color rgb="FFBFBFBF"/>
      </top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/>
      <right style="thin">
        <color rgb="FFBFBFBF"/>
      </right>
      <top/>
      <bottom style="thin">
        <color rgb="FFBFBFBF"/>
      </bottom>
      <diagonal/>
    </border>
    <border diagonalUp="false" diagonalDown="false">
      <left style="thin"/>
      <right style="thin">
        <color rgb="FFBFBFBF"/>
      </right>
      <top style="thin">
        <color rgb="FFBFBFBF"/>
      </top>
      <bottom/>
      <diagonal/>
    </border>
    <border diagonalUp="false" diagonalDown="false">
      <left style="thin"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/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/>
      <bottom style="thin">
        <color rgb="FFBFBFBF"/>
      </bottom>
      <diagonal/>
    </border>
    <border diagonalUp="false" diagonalDown="false">
      <left style="thin"/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/>
      <diagonal/>
    </border>
    <border diagonalUp="false" diagonalDown="false">
      <left style="thin">
        <color rgb="FFBFBFBF"/>
      </left>
      <right style="thin"/>
      <top style="thin">
        <color rgb="FFBFBFBF"/>
      </top>
      <bottom style="thin"/>
      <diagonal/>
    </border>
    <border diagonalUp="false" diagonalDown="false">
      <left style="thin"/>
      <right style="thin"/>
      <top style="thin">
        <color rgb="FFBFBFBF"/>
      </top>
      <bottom style="thin"/>
      <diagonal/>
    </border>
    <border diagonalUp="false" diagonalDown="false">
      <left style="thin"/>
      <right style="thin">
        <color rgb="FFBFBFBF"/>
      </right>
      <top style="thin">
        <color rgb="FFBFBFBF"/>
      </top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FBFBF"/>
      </left>
      <right style="thin"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>
        <color rgb="FFBFBFBF"/>
      </right>
      <top/>
      <bottom style="thin"/>
      <diagonal/>
    </border>
    <border diagonalUp="false" diagonalDown="false">
      <left style="thin"/>
      <right/>
      <top style="thin">
        <color rgb="FFBFBFBF"/>
      </top>
      <bottom style="thin"/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/>
      <top style="thin"/>
      <bottom style="thin">
        <color rgb="FFBFBFBF"/>
      </bottom>
      <diagonal/>
    </border>
    <border diagonalUp="false" diagonalDown="false">
      <left style="thin"/>
      <right style="thin"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/>
      <diagonal/>
    </border>
    <border diagonalUp="false" diagonalDown="false">
      <left style="thin">
        <color rgb="FFBFBFBF"/>
      </left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>
        <color rgb="FFBFBFBF"/>
      </right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/>
      <bottom style="thin"/>
      <diagonal/>
    </border>
    <border diagonalUp="false" diagonalDown="false">
      <left style="thin">
        <color rgb="FFBFBFBF"/>
      </left>
      <right style="thin"/>
      <top/>
      <bottom style="thin"/>
      <diagonal/>
    </border>
    <border diagonalUp="false" diagonalDown="false">
      <left style="thin"/>
      <right style="thin"/>
      <top style="thin"/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 style="thin"/>
      <diagonal/>
    </border>
    <border diagonalUp="false" diagonalDown="false">
      <left/>
      <right style="thin"/>
      <top style="thin">
        <color rgb="FFBFBFBF"/>
      </top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3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3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38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9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3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4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2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5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8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4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2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2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7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8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4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51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87" activePane="bottomLeft" state="frozen"/>
      <selection pane="topLeft" activeCell="A1" activeCellId="0" sqref="A1"/>
      <selection pane="bottomLeft" activeCell="H315" activeCellId="0" sqref="H315"/>
    </sheetView>
  </sheetViews>
  <sheetFormatPr defaultColWidth="9.01953125" defaultRowHeight="13.8" zeroHeight="false" outlineLevelRow="0" outlineLevelCol="0"/>
  <cols>
    <col collapsed="false" customWidth="true" hidden="true" outlineLevel="0" max="1" min="1" style="1" width="3.99"/>
    <col collapsed="false" customWidth="true" hidden="false" outlineLevel="0" max="2" min="2" style="2" width="5.29"/>
    <col collapsed="false" customWidth="true" hidden="false" outlineLevel="0" max="3" min="3" style="3" width="8.86"/>
    <col collapsed="false" customWidth="true" hidden="false" outlineLevel="0" max="4" min="4" style="4" width="23.71"/>
    <col collapsed="false" customWidth="true" hidden="false" outlineLevel="0" max="7" min="5" style="1" width="23.71"/>
    <col collapsed="false" customWidth="true" hidden="false" outlineLevel="0" max="8" min="8" style="4" width="23.71"/>
    <col collapsed="false" customWidth="true" hidden="false" outlineLevel="0" max="11" min="9" style="1" width="23.7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5" t="s">
        <v>0</v>
      </c>
      <c r="B1" s="6" t="s">
        <v>1</v>
      </c>
      <c r="C1" s="7" t="s">
        <v>2</v>
      </c>
      <c r="D1" s="8" t="n">
        <v>7</v>
      </c>
      <c r="E1" s="5" t="n">
        <v>6</v>
      </c>
      <c r="F1" s="5" t="n">
        <v>5</v>
      </c>
      <c r="G1" s="9" t="n">
        <v>4</v>
      </c>
      <c r="H1" s="8" t="n">
        <v>3</v>
      </c>
      <c r="I1" s="5" t="n">
        <v>2</v>
      </c>
      <c r="J1" s="5" t="n">
        <v>1</v>
      </c>
      <c r="K1" s="9" t="n">
        <v>0</v>
      </c>
    </row>
    <row r="2" customFormat="false" ht="13.8" hidden="false" customHeight="false" outlineLevel="0" collapsed="false">
      <c r="A2" s="10" t="n">
        <v>0</v>
      </c>
      <c r="B2" s="11" t="str">
        <f aca="false">com.sun.star.sheet.addin.Analysis.getDec2Hex(2560+A2)</f>
        <v>A00</v>
      </c>
      <c r="C2" s="12" t="str">
        <f aca="false">8*A2&amp;"-"&amp;(8*A2+7)</f>
        <v>0-7</v>
      </c>
      <c r="D2" s="13" t="s">
        <v>3</v>
      </c>
      <c r="E2" s="13"/>
      <c r="F2" s="13"/>
      <c r="G2" s="13"/>
      <c r="H2" s="13"/>
      <c r="I2" s="13"/>
      <c r="J2" s="13"/>
      <c r="K2" s="13"/>
    </row>
    <row r="3" customFormat="false" ht="13.8" hidden="false" customHeight="false" outlineLevel="0" collapsed="false">
      <c r="A3" s="10" t="n">
        <f aca="false">A2+1</f>
        <v>1</v>
      </c>
      <c r="B3" s="11" t="str">
        <f aca="false">com.sun.star.sheet.addin.Analysis.getDec2Hex(2560+A3)</f>
        <v>A01</v>
      </c>
      <c r="C3" s="12" t="str">
        <f aca="false">8*A3&amp;"-"&amp;(8*A3+7)</f>
        <v>8-15</v>
      </c>
      <c r="D3" s="13"/>
      <c r="E3" s="13"/>
      <c r="F3" s="13"/>
      <c r="G3" s="13"/>
      <c r="H3" s="13"/>
      <c r="I3" s="13"/>
      <c r="J3" s="13"/>
      <c r="K3" s="13"/>
    </row>
    <row r="4" customFormat="false" ht="13.8" hidden="false" customHeight="false" outlineLevel="0" collapsed="false">
      <c r="A4" s="10" t="n">
        <f aca="false">A3+1</f>
        <v>2</v>
      </c>
      <c r="B4" s="11" t="str">
        <f aca="false">com.sun.star.sheet.addin.Analysis.getDec2Hex(2560+A4)</f>
        <v>A02</v>
      </c>
      <c r="C4" s="14" t="str">
        <f aca="false">8*A4&amp;"-"&amp;(8*A4+7)</f>
        <v>16-23</v>
      </c>
      <c r="D4" s="15" t="s">
        <v>4</v>
      </c>
      <c r="E4" s="16" t="s">
        <v>5</v>
      </c>
      <c r="F4" s="17" t="s">
        <v>6</v>
      </c>
      <c r="G4" s="17" t="s">
        <v>7</v>
      </c>
      <c r="H4" s="18" t="s">
        <v>8</v>
      </c>
      <c r="I4" s="17" t="s">
        <v>9</v>
      </c>
      <c r="J4" s="17" t="s">
        <v>10</v>
      </c>
      <c r="K4" s="16" t="s">
        <v>11</v>
      </c>
    </row>
    <row r="5" customFormat="false" ht="13.8" hidden="false" customHeight="false" outlineLevel="0" collapsed="false">
      <c r="A5" s="10" t="n">
        <f aca="false">A4+1</f>
        <v>3</v>
      </c>
      <c r="B5" s="11" t="str">
        <f aca="false">com.sun.star.sheet.addin.Analysis.getDec2Hex(2560+A5)</f>
        <v>A03</v>
      </c>
      <c r="C5" s="12" t="str">
        <f aca="false">8*A5&amp;"-"&amp;(8*A5+7)</f>
        <v>24-31</v>
      </c>
      <c r="D5" s="19" t="s">
        <v>12</v>
      </c>
      <c r="E5" s="20" t="s">
        <v>13</v>
      </c>
      <c r="F5" s="16" t="s">
        <v>14</v>
      </c>
      <c r="G5" s="16" t="s">
        <v>15</v>
      </c>
      <c r="H5" s="16" t="s">
        <v>16</v>
      </c>
      <c r="I5" s="16" t="s">
        <v>17</v>
      </c>
      <c r="J5" s="16" t="s">
        <v>18</v>
      </c>
      <c r="K5" s="21" t="s">
        <v>19</v>
      </c>
    </row>
    <row r="6" customFormat="false" ht="13.8" hidden="false" customHeight="false" outlineLevel="0" collapsed="false">
      <c r="A6" s="10" t="n">
        <f aca="false">A5+1</f>
        <v>4</v>
      </c>
      <c r="B6" s="11" t="str">
        <f aca="false">com.sun.star.sheet.addin.Analysis.getDec2Hex(2560+A6)</f>
        <v>A04</v>
      </c>
      <c r="C6" s="14" t="str">
        <f aca="false">8*A6&amp;"-"&amp;(8*A6+7)</f>
        <v>32-39</v>
      </c>
      <c r="D6" s="15" t="s">
        <v>20</v>
      </c>
      <c r="E6" s="22" t="s">
        <v>21</v>
      </c>
      <c r="F6" s="23" t="s">
        <v>22</v>
      </c>
      <c r="G6" s="23" t="s">
        <v>23</v>
      </c>
      <c r="H6" s="24" t="s">
        <v>24</v>
      </c>
      <c r="I6" s="23" t="s">
        <v>25</v>
      </c>
      <c r="J6" s="23" t="s">
        <v>26</v>
      </c>
      <c r="K6" s="25" t="s">
        <v>13</v>
      </c>
    </row>
    <row r="7" customFormat="false" ht="13.8" hidden="false" customHeight="false" outlineLevel="0" collapsed="false">
      <c r="A7" s="10" t="n">
        <f aca="false">A6+1</f>
        <v>5</v>
      </c>
      <c r="B7" s="11" t="str">
        <f aca="false">com.sun.star.sheet.addin.Analysis.getDec2Hex(2560+A7)</f>
        <v>A05</v>
      </c>
      <c r="C7" s="12" t="str">
        <f aca="false">8*A7&amp;"-"&amp;(8*A7+7)</f>
        <v>40-47</v>
      </c>
      <c r="D7" s="24" t="s">
        <v>27</v>
      </c>
      <c r="E7" s="26" t="s">
        <v>13</v>
      </c>
      <c r="F7" s="27" t="s">
        <v>28</v>
      </c>
      <c r="G7" s="25" t="s">
        <v>13</v>
      </c>
      <c r="H7" s="28" t="s">
        <v>29</v>
      </c>
      <c r="I7" s="17" t="s">
        <v>30</v>
      </c>
      <c r="J7" s="23" t="s">
        <v>31</v>
      </c>
      <c r="K7" s="25" t="s">
        <v>13</v>
      </c>
    </row>
    <row r="8" customFormat="false" ht="13.8" hidden="false" customHeight="false" outlineLevel="0" collapsed="false">
      <c r="A8" s="10" t="n">
        <f aca="false">A7+1</f>
        <v>6</v>
      </c>
      <c r="B8" s="11" t="str">
        <f aca="false">com.sun.star.sheet.addin.Analysis.getDec2Hex(2560+A8)</f>
        <v>A06</v>
      </c>
      <c r="C8" s="12" t="str">
        <f aca="false">8*A8&amp;"-"&amp;(8*A8+7)</f>
        <v>48-55</v>
      </c>
      <c r="D8" s="29" t="s">
        <v>32</v>
      </c>
      <c r="E8" s="30" t="s">
        <v>33</v>
      </c>
      <c r="F8" s="27" t="s">
        <v>34</v>
      </c>
      <c r="G8" s="21" t="s">
        <v>35</v>
      </c>
      <c r="H8" s="31" t="s">
        <v>36</v>
      </c>
      <c r="I8" s="32" t="s">
        <v>37</v>
      </c>
      <c r="J8" s="33" t="s">
        <v>38</v>
      </c>
      <c r="K8" s="33" t="s">
        <v>39</v>
      </c>
    </row>
    <row r="9" customFormat="false" ht="13.8" hidden="false" customHeight="false" outlineLevel="0" collapsed="false">
      <c r="A9" s="10" t="n">
        <f aca="false">A8+1</f>
        <v>7</v>
      </c>
      <c r="B9" s="11" t="str">
        <f aca="false">com.sun.star.sheet.addin.Analysis.getDec2Hex(2560+A9)</f>
        <v>A07</v>
      </c>
      <c r="C9" s="14" t="str">
        <f aca="false">8*A9&amp;"-"&amp;(8*A9+7)</f>
        <v>56-63</v>
      </c>
      <c r="D9" s="15" t="s">
        <v>40</v>
      </c>
      <c r="E9" s="34" t="s">
        <v>41</v>
      </c>
      <c r="F9" s="35" t="s">
        <v>42</v>
      </c>
      <c r="G9" s="33" t="s">
        <v>43</v>
      </c>
      <c r="H9" s="15" t="s">
        <v>44</v>
      </c>
      <c r="I9" s="36" t="s">
        <v>45</v>
      </c>
      <c r="J9" s="37" t="s">
        <v>13</v>
      </c>
      <c r="K9" s="25" t="s">
        <v>13</v>
      </c>
    </row>
    <row r="10" customFormat="false" ht="13.8" hidden="false" customHeight="false" outlineLevel="0" collapsed="false">
      <c r="A10" s="10" t="n">
        <f aca="false">A9+1</f>
        <v>8</v>
      </c>
      <c r="B10" s="11" t="str">
        <f aca="false">com.sun.star.sheet.addin.Analysis.getDec2Hex(2560+A10)</f>
        <v>A08</v>
      </c>
      <c r="C10" s="12" t="str">
        <f aca="false">8*A10&amp;"-"&amp;(8*A10+7)</f>
        <v>64-71</v>
      </c>
      <c r="D10" s="38" t="s">
        <v>46</v>
      </c>
      <c r="E10" s="39" t="s">
        <v>47</v>
      </c>
      <c r="F10" s="26" t="s">
        <v>13</v>
      </c>
      <c r="G10" s="25" t="s">
        <v>48</v>
      </c>
      <c r="H10" s="40" t="s">
        <v>13</v>
      </c>
      <c r="I10" s="39" t="s">
        <v>49</v>
      </c>
      <c r="J10" s="41" t="s">
        <v>50</v>
      </c>
      <c r="K10" s="33" t="s">
        <v>51</v>
      </c>
    </row>
    <row r="11" customFormat="false" ht="13.8" hidden="false" customHeight="false" outlineLevel="0" collapsed="false">
      <c r="A11" s="10" t="n">
        <f aca="false">A10+1</f>
        <v>9</v>
      </c>
      <c r="B11" s="11" t="str">
        <f aca="false">com.sun.star.sheet.addin.Analysis.getDec2Hex(2560+A11)</f>
        <v>A09</v>
      </c>
      <c r="C11" s="14" t="str">
        <f aca="false">8*A11&amp;"-"&amp;(8*A11+7)</f>
        <v>72-79</v>
      </c>
      <c r="D11" s="24" t="s">
        <v>52</v>
      </c>
      <c r="E11" s="21" t="s">
        <v>53</v>
      </c>
      <c r="F11" s="42" t="s">
        <v>54</v>
      </c>
      <c r="G11" s="33" t="s">
        <v>55</v>
      </c>
      <c r="H11" s="43" t="s">
        <v>56</v>
      </c>
      <c r="I11" s="16" t="s">
        <v>57</v>
      </c>
      <c r="J11" s="16" t="s">
        <v>58</v>
      </c>
      <c r="K11" s="42" t="s">
        <v>59</v>
      </c>
      <c r="L11" s="44" t="s">
        <v>60</v>
      </c>
    </row>
    <row r="12" customFormat="false" ht="13.8" hidden="false" customHeight="false" outlineLevel="0" collapsed="false">
      <c r="A12" s="10" t="n">
        <f aca="false">A11+1</f>
        <v>10</v>
      </c>
      <c r="B12" s="11" t="str">
        <f aca="false">com.sun.star.sheet.addin.Analysis.getDec2Hex(2560+A12)</f>
        <v>A0A</v>
      </c>
      <c r="C12" s="12" t="str">
        <f aca="false">8*A12&amp;"-"&amp;(8*A12+7)</f>
        <v>80-87</v>
      </c>
      <c r="D12" s="45" t="s">
        <v>61</v>
      </c>
      <c r="E12" s="16" t="s">
        <v>62</v>
      </c>
      <c r="F12" s="37" t="s">
        <v>13</v>
      </c>
      <c r="G12" s="33" t="s">
        <v>63</v>
      </c>
      <c r="H12" s="28" t="s">
        <v>64</v>
      </c>
      <c r="I12" s="46" t="s">
        <v>65</v>
      </c>
      <c r="J12" s="23" t="s">
        <v>66</v>
      </c>
      <c r="K12" s="33" t="s">
        <v>67</v>
      </c>
    </row>
    <row r="13" customFormat="false" ht="13.8" hidden="false" customHeight="false" outlineLevel="0" collapsed="false">
      <c r="A13" s="10" t="n">
        <f aca="false">A12+1</f>
        <v>11</v>
      </c>
      <c r="B13" s="11" t="str">
        <f aca="false">com.sun.star.sheet.addin.Analysis.getDec2Hex(2560+A13)</f>
        <v>A0B</v>
      </c>
      <c r="C13" s="12" t="str">
        <f aca="false">8*A13&amp;"-"&amp;(8*A13+7)</f>
        <v>88-95</v>
      </c>
      <c r="D13" s="47" t="s">
        <v>13</v>
      </c>
      <c r="E13" s="23" t="s">
        <v>68</v>
      </c>
      <c r="F13" s="27" t="s">
        <v>69</v>
      </c>
      <c r="G13" s="33" t="s">
        <v>70</v>
      </c>
      <c r="H13" s="28" t="s">
        <v>71</v>
      </c>
      <c r="I13" s="48" t="s">
        <v>72</v>
      </c>
      <c r="J13" s="27" t="s">
        <v>73</v>
      </c>
      <c r="K13" s="48" t="s">
        <v>74</v>
      </c>
    </row>
    <row r="14" customFormat="false" ht="13.8" hidden="false" customHeight="false" outlineLevel="0" collapsed="false">
      <c r="A14" s="10" t="n">
        <f aca="false">A13+1</f>
        <v>12</v>
      </c>
      <c r="B14" s="11" t="str">
        <f aca="false">com.sun.star.sheet.addin.Analysis.getDec2Hex(2560+A14)</f>
        <v>A0C</v>
      </c>
      <c r="C14" s="12" t="str">
        <f aca="false">8*A14&amp;"-"&amp;(8*A14+7)</f>
        <v>96-103</v>
      </c>
      <c r="D14" s="49" t="s">
        <v>75</v>
      </c>
      <c r="E14" s="50" t="s">
        <v>76</v>
      </c>
      <c r="F14" s="50" t="s">
        <v>77</v>
      </c>
      <c r="G14" s="50" t="s">
        <v>78</v>
      </c>
      <c r="H14" s="28" t="s">
        <v>79</v>
      </c>
      <c r="I14" s="27" t="s">
        <v>80</v>
      </c>
      <c r="J14" s="27" t="s">
        <v>81</v>
      </c>
      <c r="K14" s="33" t="s">
        <v>82</v>
      </c>
    </row>
    <row r="15" customFormat="false" ht="13.8" hidden="false" customHeight="false" outlineLevel="0" collapsed="false">
      <c r="A15" s="10" t="n">
        <f aca="false">A14+1</f>
        <v>13</v>
      </c>
      <c r="B15" s="11" t="str">
        <f aca="false">com.sun.star.sheet.addin.Analysis.getDec2Hex(2560+A15)</f>
        <v>A0D</v>
      </c>
      <c r="C15" s="14" t="str">
        <f aca="false">8*A15&amp;"-"&amp;(8*A15+7)</f>
        <v>104-111</v>
      </c>
      <c r="D15" s="51" t="s">
        <v>83</v>
      </c>
      <c r="E15" s="52" t="s">
        <v>84</v>
      </c>
      <c r="F15" s="50" t="s">
        <v>85</v>
      </c>
      <c r="G15" s="50" t="s">
        <v>86</v>
      </c>
      <c r="H15" s="53" t="s">
        <v>87</v>
      </c>
      <c r="I15" s="48" t="s">
        <v>88</v>
      </c>
      <c r="J15" s="27" t="s">
        <v>89</v>
      </c>
      <c r="K15" s="48" t="s">
        <v>90</v>
      </c>
    </row>
    <row r="16" customFormat="false" ht="13.8" hidden="false" customHeight="false" outlineLevel="0" collapsed="false">
      <c r="A16" s="10" t="n">
        <f aca="false">A15+1</f>
        <v>14</v>
      </c>
      <c r="B16" s="11" t="str">
        <f aca="false">com.sun.star.sheet.addin.Analysis.getDec2Hex(2560+A16)</f>
        <v>A0E</v>
      </c>
      <c r="C16" s="12" t="str">
        <f aca="false">8*A16&amp;"-"&amp;(8*A16+7)</f>
        <v>112-119</v>
      </c>
      <c r="D16" s="45" t="s">
        <v>91</v>
      </c>
      <c r="E16" s="50" t="s">
        <v>92</v>
      </c>
      <c r="F16" s="50" t="s">
        <v>93</v>
      </c>
      <c r="G16" s="50" t="s">
        <v>94</v>
      </c>
      <c r="H16" s="53" t="s">
        <v>95</v>
      </c>
      <c r="I16" s="48" t="s">
        <v>96</v>
      </c>
      <c r="J16" s="48" t="s">
        <v>97</v>
      </c>
      <c r="K16" s="33" t="s">
        <v>98</v>
      </c>
    </row>
    <row r="17" s="62" customFormat="true" ht="13.8" hidden="false" customHeight="false" outlineLevel="0" collapsed="false">
      <c r="A17" s="54" t="n">
        <f aca="false">A16+1</f>
        <v>15</v>
      </c>
      <c r="B17" s="55" t="str">
        <f aca="false">com.sun.star.sheet.addin.Analysis.getDec2Hex(2560+A17)</f>
        <v>A0F</v>
      </c>
      <c r="C17" s="56" t="str">
        <f aca="false">8*A17&amp;"-"&amp;(8*A17+7)</f>
        <v>120-127</v>
      </c>
      <c r="D17" s="57" t="s">
        <v>99</v>
      </c>
      <c r="E17" s="58" t="s">
        <v>100</v>
      </c>
      <c r="F17" s="59" t="s">
        <v>101</v>
      </c>
      <c r="G17" s="60" t="s">
        <v>102</v>
      </c>
      <c r="H17" s="57" t="s">
        <v>103</v>
      </c>
      <c r="I17" s="59" t="s">
        <v>104</v>
      </c>
      <c r="J17" s="58" t="s">
        <v>105</v>
      </c>
      <c r="K17" s="61" t="s">
        <v>106</v>
      </c>
      <c r="AMH17" s="0"/>
      <c r="AMI17" s="0"/>
      <c r="AMJ17" s="0"/>
    </row>
    <row r="18" customFormat="false" ht="13.8" hidden="false" customHeight="false" outlineLevel="0" collapsed="false">
      <c r="A18" s="63" t="n">
        <f aca="false">A17+1</f>
        <v>16</v>
      </c>
      <c r="B18" s="64" t="str">
        <f aca="false">com.sun.star.sheet.addin.Analysis.getDec2Hex(2560+A18)</f>
        <v>A10</v>
      </c>
      <c r="C18" s="65" t="str">
        <f aca="false">8*A18&amp;"-"&amp;(8*A18+7)</f>
        <v>128-135</v>
      </c>
      <c r="D18" s="24" t="s">
        <v>107</v>
      </c>
      <c r="E18" s="66" t="s">
        <v>108</v>
      </c>
      <c r="F18" s="32" t="s">
        <v>109</v>
      </c>
      <c r="G18" s="50" t="s">
        <v>110</v>
      </c>
      <c r="H18" s="67" t="s">
        <v>111</v>
      </c>
      <c r="I18" s="66" t="s">
        <v>112</v>
      </c>
      <c r="J18" s="33" t="s">
        <v>113</v>
      </c>
      <c r="K18" s="33" t="s">
        <v>114</v>
      </c>
    </row>
    <row r="19" customFormat="false" ht="13.8" hidden="false" customHeight="false" outlineLevel="0" collapsed="false">
      <c r="A19" s="10" t="n">
        <f aca="false">A18+1</f>
        <v>17</v>
      </c>
      <c r="B19" s="11" t="str">
        <f aca="false">com.sun.star.sheet.addin.Analysis.getDec2Hex(2560+A19)</f>
        <v>A11</v>
      </c>
      <c r="C19" s="12" t="str">
        <f aca="false">8*A19&amp;"-"&amp;(8*A19+7)</f>
        <v>136-143</v>
      </c>
      <c r="D19" s="68" t="s">
        <v>13</v>
      </c>
      <c r="E19" s="16" t="s">
        <v>115</v>
      </c>
      <c r="F19" s="16" t="s">
        <v>116</v>
      </c>
      <c r="G19" s="69" t="s">
        <v>117</v>
      </c>
      <c r="H19" s="70" t="s">
        <v>118</v>
      </c>
      <c r="I19" s="71" t="s">
        <v>119</v>
      </c>
      <c r="J19" s="70" t="s">
        <v>120</v>
      </c>
      <c r="K19" s="33" t="s">
        <v>121</v>
      </c>
    </row>
    <row r="20" customFormat="false" ht="13.8" hidden="false" customHeight="false" outlineLevel="0" collapsed="false">
      <c r="A20" s="10" t="n">
        <f aca="false">A19+1</f>
        <v>18</v>
      </c>
      <c r="B20" s="11" t="str">
        <f aca="false">com.sun.star.sheet.addin.Analysis.getDec2Hex(2560+A20)</f>
        <v>A12</v>
      </c>
      <c r="C20" s="14" t="str">
        <f aca="false">8*A20&amp;"-"&amp;(8*A20+7)</f>
        <v>144-151</v>
      </c>
      <c r="D20" s="15" t="s">
        <v>122</v>
      </c>
      <c r="E20" s="72" t="s">
        <v>123</v>
      </c>
      <c r="F20" s="73" t="s">
        <v>124</v>
      </c>
      <c r="G20" s="74" t="s">
        <v>125</v>
      </c>
      <c r="H20" s="53" t="s">
        <v>126</v>
      </c>
      <c r="I20" s="23" t="s">
        <v>127</v>
      </c>
      <c r="J20" s="48" t="s">
        <v>128</v>
      </c>
      <c r="K20" s="50" t="s">
        <v>129</v>
      </c>
    </row>
    <row r="21" customFormat="false" ht="13.8" hidden="false" customHeight="false" outlineLevel="0" collapsed="false">
      <c r="A21" s="10" t="n">
        <f aca="false">A20+1</f>
        <v>19</v>
      </c>
      <c r="B21" s="11" t="str">
        <f aca="false">com.sun.star.sheet.addin.Analysis.getDec2Hex(2560+A21)</f>
        <v>A13</v>
      </c>
      <c r="C21" s="12" t="str">
        <f aca="false">8*A21&amp;"-"&amp;(8*A21+7)</f>
        <v>152-159</v>
      </c>
      <c r="D21" s="45" t="s">
        <v>130</v>
      </c>
      <c r="E21" s="50" t="s">
        <v>131</v>
      </c>
      <c r="F21" s="66" t="s">
        <v>132</v>
      </c>
      <c r="G21" s="21" t="s">
        <v>133</v>
      </c>
      <c r="H21" s="75" t="s">
        <v>134</v>
      </c>
      <c r="I21" s="21" t="s">
        <v>135</v>
      </c>
      <c r="J21" s="33" t="s">
        <v>136</v>
      </c>
      <c r="K21" s="33" t="s">
        <v>137</v>
      </c>
    </row>
    <row r="22" customFormat="false" ht="13.8" hidden="false" customHeight="false" outlineLevel="0" collapsed="false">
      <c r="A22" s="10" t="n">
        <f aca="false">A21+1</f>
        <v>20</v>
      </c>
      <c r="B22" s="11" t="str">
        <f aca="false">com.sun.star.sheet.addin.Analysis.getDec2Hex(2560+A22)</f>
        <v>A14</v>
      </c>
      <c r="C22" s="12" t="str">
        <f aca="false">8*A22&amp;"-"&amp;(8*A22+7)</f>
        <v>160-167</v>
      </c>
      <c r="D22" s="47" t="s">
        <v>138</v>
      </c>
      <c r="E22" s="33" t="s">
        <v>139</v>
      </c>
      <c r="F22" s="16" t="s">
        <v>140</v>
      </c>
      <c r="G22" s="74" t="s">
        <v>141</v>
      </c>
      <c r="H22" s="76" t="s">
        <v>142</v>
      </c>
      <c r="I22" s="42" t="s">
        <v>143</v>
      </c>
      <c r="J22" s="33" t="s">
        <v>144</v>
      </c>
      <c r="K22" s="33" t="s">
        <v>145</v>
      </c>
    </row>
    <row r="23" customFormat="false" ht="13.8" hidden="false" customHeight="false" outlineLevel="0" collapsed="false">
      <c r="A23" s="10" t="n">
        <f aca="false">A22+1</f>
        <v>21</v>
      </c>
      <c r="B23" s="11" t="str">
        <f aca="false">com.sun.star.sheet.addin.Analysis.getDec2Hex(2560+A23)</f>
        <v>A15</v>
      </c>
      <c r="C23" s="12" t="str">
        <f aca="false">8*A23&amp;"-"&amp;(8*A23+7)</f>
        <v>168-175</v>
      </c>
      <c r="D23" s="70" t="s">
        <v>146</v>
      </c>
      <c r="E23" s="50" t="s">
        <v>147</v>
      </c>
      <c r="F23" s="77" t="s">
        <v>148</v>
      </c>
      <c r="G23" s="78" t="s">
        <v>149</v>
      </c>
      <c r="H23" s="24" t="s">
        <v>150</v>
      </c>
      <c r="I23" s="27" t="s">
        <v>151</v>
      </c>
      <c r="J23" s="48" t="s">
        <v>152</v>
      </c>
      <c r="K23" s="33" t="s">
        <v>153</v>
      </c>
    </row>
    <row r="24" customFormat="false" ht="13.8" hidden="false" customHeight="false" outlineLevel="0" collapsed="false">
      <c r="A24" s="10" t="n">
        <f aca="false">A23+1</f>
        <v>22</v>
      </c>
      <c r="B24" s="11" t="str">
        <f aca="false">com.sun.star.sheet.addin.Analysis.getDec2Hex(2560+A24)</f>
        <v>A16</v>
      </c>
      <c r="C24" s="12" t="str">
        <f aca="false">8*A24&amp;"-"&amp;(8*A24+7)</f>
        <v>176-183</v>
      </c>
      <c r="D24" s="70" t="s">
        <v>154</v>
      </c>
      <c r="E24" s="50" t="s">
        <v>155</v>
      </c>
      <c r="F24" s="79" t="s">
        <v>156</v>
      </c>
      <c r="G24" s="80" t="s">
        <v>157</v>
      </c>
      <c r="H24" s="53" t="s">
        <v>158</v>
      </c>
      <c r="I24" s="48" t="s">
        <v>159</v>
      </c>
      <c r="J24" s="48" t="s">
        <v>160</v>
      </c>
      <c r="K24" s="50" t="s">
        <v>161</v>
      </c>
      <c r="L24" s="44" t="s">
        <v>162</v>
      </c>
    </row>
    <row r="25" customFormat="false" ht="13.8" hidden="false" customHeight="false" outlineLevel="0" collapsed="false">
      <c r="A25" s="10" t="n">
        <f aca="false">A24+1</f>
        <v>23</v>
      </c>
      <c r="B25" s="11" t="str">
        <f aca="false">com.sun.star.sheet.addin.Analysis.getDec2Hex(2560+A25)</f>
        <v>A17</v>
      </c>
      <c r="C25" s="12" t="str">
        <f aca="false">8*A25&amp;"-"&amp;(8*A25+7)</f>
        <v>184-191</v>
      </c>
      <c r="D25" s="28" t="s">
        <v>163</v>
      </c>
      <c r="E25" s="27" t="s">
        <v>164</v>
      </c>
      <c r="F25" s="81" t="s">
        <v>165</v>
      </c>
      <c r="G25" s="21" t="s">
        <v>166</v>
      </c>
      <c r="H25" s="47" t="s">
        <v>167</v>
      </c>
      <c r="I25" s="33" t="s">
        <v>168</v>
      </c>
      <c r="J25" s="33" t="s">
        <v>169</v>
      </c>
      <c r="K25" s="33" t="s">
        <v>170</v>
      </c>
    </row>
    <row r="26" customFormat="false" ht="13.8" hidden="false" customHeight="false" outlineLevel="0" collapsed="false">
      <c r="A26" s="10" t="n">
        <f aca="false">A25+1</f>
        <v>24</v>
      </c>
      <c r="B26" s="11" t="str">
        <f aca="false">com.sun.star.sheet.addin.Analysis.getDec2Hex(2560+A26)</f>
        <v>A18</v>
      </c>
      <c r="C26" s="12" t="str">
        <f aca="false">8*A26&amp;"-"&amp;(8*A26+7)</f>
        <v>192-199</v>
      </c>
      <c r="D26" s="28" t="s">
        <v>171</v>
      </c>
      <c r="E26" s="27" t="s">
        <v>172</v>
      </c>
      <c r="F26" s="27" t="s">
        <v>173</v>
      </c>
      <c r="G26" s="33" t="s">
        <v>174</v>
      </c>
      <c r="H26" s="28" t="s">
        <v>175</v>
      </c>
      <c r="I26" s="27" t="s">
        <v>176</v>
      </c>
      <c r="J26" s="27" t="s">
        <v>177</v>
      </c>
      <c r="K26" s="27" t="s">
        <v>178</v>
      </c>
    </row>
    <row r="27" customFormat="false" ht="13.8" hidden="false" customHeight="false" outlineLevel="0" collapsed="false">
      <c r="A27" s="10" t="n">
        <f aca="false">A26+1</f>
        <v>25</v>
      </c>
      <c r="B27" s="11" t="str">
        <f aca="false">com.sun.star.sheet.addin.Analysis.getDec2Hex(2560+A27)</f>
        <v>A19</v>
      </c>
      <c r="C27" s="12" t="str">
        <f aca="false">8*A27&amp;"-"&amp;(8*A27+7)</f>
        <v>200-207</v>
      </c>
      <c r="D27" s="47" t="s">
        <v>179</v>
      </c>
      <c r="E27" s="50" t="s">
        <v>180</v>
      </c>
      <c r="F27" s="21" t="s">
        <v>181</v>
      </c>
      <c r="G27" s="21" t="s">
        <v>182</v>
      </c>
      <c r="H27" s="82" t="s">
        <v>183</v>
      </c>
      <c r="I27" s="26" t="s">
        <v>13</v>
      </c>
      <c r="J27" s="21" t="s">
        <v>184</v>
      </c>
      <c r="K27" s="25" t="s">
        <v>185</v>
      </c>
    </row>
    <row r="28" customFormat="false" ht="13.8" hidden="false" customHeight="false" outlineLevel="0" collapsed="false">
      <c r="A28" s="10" t="n">
        <f aca="false">A27+1</f>
        <v>26</v>
      </c>
      <c r="B28" s="11" t="str">
        <f aca="false">com.sun.star.sheet.addin.Analysis.getDec2Hex(2560+A28)</f>
        <v>A1A</v>
      </c>
      <c r="C28" s="12" t="str">
        <f aca="false">8*A28&amp;"-"&amp;(8*A28+7)</f>
        <v>208-215</v>
      </c>
      <c r="D28" s="28" t="s">
        <v>186</v>
      </c>
      <c r="E28" s="50" t="s">
        <v>187</v>
      </c>
      <c r="F28" s="21" t="s">
        <v>188</v>
      </c>
      <c r="G28" s="83" t="s">
        <v>189</v>
      </c>
      <c r="H28" s="47" t="s">
        <v>190</v>
      </c>
      <c r="I28" s="26" t="s">
        <v>191</v>
      </c>
      <c r="J28" s="33" t="s">
        <v>192</v>
      </c>
      <c r="K28" s="50" t="s">
        <v>193</v>
      </c>
    </row>
    <row r="29" customFormat="false" ht="13.8" hidden="false" customHeight="false" outlineLevel="0" collapsed="false">
      <c r="A29" s="10" t="n">
        <f aca="false">A28+1</f>
        <v>27</v>
      </c>
      <c r="B29" s="11" t="str">
        <f aca="false">com.sun.star.sheet.addin.Analysis.getDec2Hex(2560+A29)</f>
        <v>A1B</v>
      </c>
      <c r="C29" s="12" t="str">
        <f aca="false">8*A29&amp;"-"&amp;(8*A29+7)</f>
        <v>216-223</v>
      </c>
      <c r="D29" s="53" t="s">
        <v>194</v>
      </c>
      <c r="E29" s="50" t="s">
        <v>195</v>
      </c>
      <c r="F29" s="84" t="s">
        <v>196</v>
      </c>
      <c r="G29" s="85" t="s">
        <v>197</v>
      </c>
      <c r="H29" s="86" t="s">
        <v>198</v>
      </c>
      <c r="I29" s="21" t="s">
        <v>199</v>
      </c>
      <c r="J29" s="33" t="s">
        <v>200</v>
      </c>
      <c r="K29" s="33" t="s">
        <v>201</v>
      </c>
    </row>
    <row r="30" customFormat="false" ht="13.8" hidden="false" customHeight="false" outlineLevel="0" collapsed="false">
      <c r="A30" s="10" t="n">
        <f aca="false">A29+1</f>
        <v>28</v>
      </c>
      <c r="B30" s="11" t="str">
        <f aca="false">com.sun.star.sheet.addin.Analysis.getDec2Hex(2560+A30)</f>
        <v>A1C</v>
      </c>
      <c r="C30" s="12" t="str">
        <f aca="false">8*A30&amp;"-"&amp;(8*A30+7)</f>
        <v>224-231</v>
      </c>
      <c r="D30" s="28" t="s">
        <v>202</v>
      </c>
      <c r="E30" s="27" t="s">
        <v>203</v>
      </c>
      <c r="F30" s="33" t="s">
        <v>204</v>
      </c>
      <c r="G30" s="74" t="s">
        <v>205</v>
      </c>
      <c r="H30" s="15" t="s">
        <v>206</v>
      </c>
      <c r="I30" s="22" t="s">
        <v>207</v>
      </c>
      <c r="J30" s="33" t="s">
        <v>208</v>
      </c>
      <c r="K30" s="33" t="s">
        <v>209</v>
      </c>
    </row>
    <row r="31" customFormat="false" ht="13.8" hidden="false" customHeight="false" outlineLevel="0" collapsed="false">
      <c r="A31" s="10" t="n">
        <f aca="false">A30+1</f>
        <v>29</v>
      </c>
      <c r="B31" s="11" t="str">
        <f aca="false">com.sun.star.sheet.addin.Analysis.getDec2Hex(2560+A31)</f>
        <v>A1D</v>
      </c>
      <c r="C31" s="12" t="str">
        <f aca="false">8*A31&amp;"-"&amp;(8*A31+7)</f>
        <v>232-239</v>
      </c>
      <c r="D31" s="87" t="s">
        <v>210</v>
      </c>
      <c r="E31" s="27" t="s">
        <v>211</v>
      </c>
      <c r="F31" s="27" t="s">
        <v>212</v>
      </c>
      <c r="G31" s="73" t="s">
        <v>213</v>
      </c>
      <c r="H31" s="24" t="s">
        <v>214</v>
      </c>
      <c r="I31" s="27" t="s">
        <v>215</v>
      </c>
      <c r="J31" s="27" t="s">
        <v>216</v>
      </c>
      <c r="K31" s="33" t="s">
        <v>217</v>
      </c>
    </row>
    <row r="32" customFormat="false" ht="13.8" hidden="false" customHeight="false" outlineLevel="0" collapsed="false">
      <c r="A32" s="10" t="n">
        <f aca="false">A31+1</f>
        <v>30</v>
      </c>
      <c r="B32" s="11" t="str">
        <f aca="false">com.sun.star.sheet.addin.Analysis.getDec2Hex(2560+A32)</f>
        <v>A1E</v>
      </c>
      <c r="C32" s="14" t="str">
        <f aca="false">8*A32&amp;"-"&amp;(8*A32+7)</f>
        <v>240-247</v>
      </c>
      <c r="D32" s="88" t="s">
        <v>218</v>
      </c>
      <c r="E32" s="37" t="s">
        <v>219</v>
      </c>
      <c r="F32" s="34" t="s">
        <v>220</v>
      </c>
      <c r="G32" s="86" t="s">
        <v>221</v>
      </c>
      <c r="H32" s="24" t="s">
        <v>222</v>
      </c>
      <c r="I32" s="27" t="s">
        <v>223</v>
      </c>
      <c r="J32" s="33" t="s">
        <v>224</v>
      </c>
      <c r="K32" s="33" t="s">
        <v>225</v>
      </c>
    </row>
    <row r="33" s="62" customFormat="true" ht="13.8" hidden="false" customHeight="false" outlineLevel="0" collapsed="false">
      <c r="A33" s="54" t="n">
        <f aca="false">A32+1</f>
        <v>31</v>
      </c>
      <c r="B33" s="55" t="str">
        <f aca="false">com.sun.star.sheet.addin.Analysis.getDec2Hex(2560+A33)</f>
        <v>A1F</v>
      </c>
      <c r="C33" s="56" t="str">
        <f aca="false">8*A33&amp;"-"&amp;(8*A33+7)</f>
        <v>248-255</v>
      </c>
      <c r="D33" s="89" t="s">
        <v>226</v>
      </c>
      <c r="E33" s="90" t="s">
        <v>13</v>
      </c>
      <c r="F33" s="58" t="s">
        <v>227</v>
      </c>
      <c r="G33" s="33" t="s">
        <v>228</v>
      </c>
      <c r="H33" s="91" t="s">
        <v>229</v>
      </c>
      <c r="I33" s="58" t="s">
        <v>230</v>
      </c>
      <c r="J33" s="58" t="s">
        <v>231</v>
      </c>
      <c r="K33" s="58" t="s">
        <v>232</v>
      </c>
      <c r="AMH33" s="0"/>
      <c r="AMI33" s="0"/>
      <c r="AMJ33" s="0"/>
    </row>
    <row r="34" customFormat="false" ht="13.8" hidden="false" customHeight="false" outlineLevel="0" collapsed="false">
      <c r="A34" s="63" t="n">
        <f aca="false">A33+1</f>
        <v>32</v>
      </c>
      <c r="B34" s="64" t="str">
        <f aca="false">com.sun.star.sheet.addin.Analysis.getDec2Hex(2560+A34)</f>
        <v>A20</v>
      </c>
      <c r="C34" s="65" t="s">
        <v>233</v>
      </c>
      <c r="D34" s="92"/>
      <c r="E34" s="93" t="s">
        <v>234</v>
      </c>
      <c r="F34" s="93" t="s">
        <v>235</v>
      </c>
      <c r="G34" s="94" t="s">
        <v>236</v>
      </c>
      <c r="H34" s="93" t="s">
        <v>237</v>
      </c>
      <c r="I34" s="93" t="s">
        <v>238</v>
      </c>
      <c r="J34" s="93" t="s">
        <v>239</v>
      </c>
      <c r="K34" s="95" t="s">
        <v>13</v>
      </c>
    </row>
    <row r="35" customFormat="false" ht="13.8" hidden="false" customHeight="false" outlineLevel="0" collapsed="false">
      <c r="A35" s="10" t="n">
        <f aca="false">A34+1</f>
        <v>33</v>
      </c>
      <c r="B35" s="11" t="str">
        <f aca="false">com.sun.star.sheet.addin.Analysis.getDec2Hex(2560+A35)</f>
        <v>A21</v>
      </c>
      <c r="C35" s="12"/>
      <c r="D35" s="96" t="s">
        <v>240</v>
      </c>
      <c r="E35" s="10" t="s">
        <v>241</v>
      </c>
      <c r="F35" s="97" t="s">
        <v>242</v>
      </c>
      <c r="G35" s="98" t="s">
        <v>243</v>
      </c>
      <c r="H35" s="96" t="s">
        <v>244</v>
      </c>
      <c r="I35" s="10" t="s">
        <v>245</v>
      </c>
      <c r="J35" s="10"/>
      <c r="K35" s="99" t="s">
        <v>246</v>
      </c>
    </row>
    <row r="36" customFormat="false" ht="13.8" hidden="false" customHeight="false" outlineLevel="0" collapsed="false">
      <c r="A36" s="10" t="n">
        <f aca="false">A35+1</f>
        <v>34</v>
      </c>
      <c r="B36" s="11" t="str">
        <f aca="false">com.sun.star.sheet.addin.Analysis.getDec2Hex(2560+A36)</f>
        <v>A22</v>
      </c>
      <c r="C36" s="12"/>
      <c r="D36" s="96" t="s">
        <v>247</v>
      </c>
      <c r="E36" s="10" t="s">
        <v>248</v>
      </c>
      <c r="F36" s="10" t="s">
        <v>249</v>
      </c>
      <c r="G36" s="99" t="s">
        <v>250</v>
      </c>
      <c r="H36" s="53" t="s">
        <v>251</v>
      </c>
      <c r="I36" s="10" t="s">
        <v>252</v>
      </c>
      <c r="J36" s="10"/>
      <c r="K36" s="99" t="s">
        <v>253</v>
      </c>
    </row>
    <row r="37" customFormat="false" ht="13.8" hidden="false" customHeight="false" outlineLevel="0" collapsed="false">
      <c r="A37" s="10" t="n">
        <f aca="false">A36+1</f>
        <v>35</v>
      </c>
      <c r="B37" s="11" t="str">
        <f aca="false">com.sun.star.sheet.addin.Analysis.getDec2Hex(2560+A37)</f>
        <v>A23</v>
      </c>
      <c r="C37" s="12"/>
      <c r="D37" s="96" t="s">
        <v>254</v>
      </c>
      <c r="E37" s="10"/>
      <c r="F37" s="27" t="s">
        <v>255</v>
      </c>
      <c r="G37" s="99" t="s">
        <v>256</v>
      </c>
      <c r="H37" s="28" t="s">
        <v>257</v>
      </c>
      <c r="I37" s="10" t="s">
        <v>258</v>
      </c>
      <c r="J37" s="10" t="s">
        <v>259</v>
      </c>
      <c r="K37" s="97" t="s">
        <v>260</v>
      </c>
    </row>
    <row r="38" customFormat="false" ht="13.8" hidden="false" customHeight="false" outlineLevel="0" collapsed="false">
      <c r="A38" s="10" t="n">
        <f aca="false">A37+1</f>
        <v>36</v>
      </c>
      <c r="B38" s="11" t="str">
        <f aca="false">com.sun.star.sheet.addin.Analysis.getDec2Hex(2560+A38)</f>
        <v>A24</v>
      </c>
      <c r="C38" s="12"/>
      <c r="D38" s="96"/>
      <c r="E38" s="10" t="s">
        <v>261</v>
      </c>
      <c r="F38" s="10" t="s">
        <v>261</v>
      </c>
      <c r="G38" s="99" t="s">
        <v>262</v>
      </c>
      <c r="H38" s="96" t="s">
        <v>263</v>
      </c>
      <c r="I38" s="10" t="s">
        <v>264</v>
      </c>
      <c r="J38" s="10" t="s">
        <v>265</v>
      </c>
      <c r="K38" s="99"/>
    </row>
    <row r="39" customFormat="false" ht="13.8" hidden="false" customHeight="false" outlineLevel="0" collapsed="false">
      <c r="A39" s="10" t="n">
        <f aca="false">A38+1</f>
        <v>37</v>
      </c>
      <c r="B39" s="11" t="str">
        <f aca="false">com.sun.star.sheet.addin.Analysis.getDec2Hex(2560+A39)</f>
        <v>A25</v>
      </c>
      <c r="C39" s="12"/>
      <c r="D39" s="96" t="s">
        <v>266</v>
      </c>
      <c r="E39" s="10" t="s">
        <v>267</v>
      </c>
      <c r="F39" s="10" t="s">
        <v>267</v>
      </c>
      <c r="G39" s="99" t="s">
        <v>268</v>
      </c>
      <c r="H39" s="96" t="s">
        <v>269</v>
      </c>
      <c r="I39" s="10"/>
      <c r="J39" s="10"/>
      <c r="K39" s="99" t="s">
        <v>266</v>
      </c>
    </row>
    <row r="40" customFormat="false" ht="13.8" hidden="false" customHeight="false" outlineLevel="0" collapsed="false">
      <c r="A40" s="10" t="n">
        <f aca="false">A39+1</f>
        <v>38</v>
      </c>
      <c r="B40" s="11" t="str">
        <f aca="false">com.sun.star.sheet.addin.Analysis.getDec2Hex(2560+A40)</f>
        <v>A26</v>
      </c>
      <c r="C40" s="12"/>
      <c r="D40" s="96" t="s">
        <v>270</v>
      </c>
      <c r="E40" s="100" t="s">
        <v>271</v>
      </c>
      <c r="F40" s="100" t="s">
        <v>272</v>
      </c>
      <c r="G40" s="100" t="s">
        <v>273</v>
      </c>
      <c r="H40" s="96" t="s">
        <v>274</v>
      </c>
      <c r="I40" s="10" t="s">
        <v>275</v>
      </c>
      <c r="J40" s="10" t="s">
        <v>276</v>
      </c>
      <c r="K40" s="99" t="s">
        <v>277</v>
      </c>
    </row>
    <row r="41" customFormat="false" ht="13.8" hidden="false" customHeight="false" outlineLevel="0" collapsed="false">
      <c r="A41" s="10" t="n">
        <f aca="false">A40+1</f>
        <v>39</v>
      </c>
      <c r="B41" s="11" t="str">
        <f aca="false">com.sun.star.sheet.addin.Analysis.getDec2Hex(2560+A41)</f>
        <v>A27</v>
      </c>
      <c r="C41" s="12"/>
      <c r="D41" s="96" t="s">
        <v>278</v>
      </c>
      <c r="E41" s="10" t="s">
        <v>279</v>
      </c>
      <c r="F41" s="10" t="s">
        <v>280</v>
      </c>
      <c r="G41" s="99"/>
      <c r="H41" s="28" t="s">
        <v>281</v>
      </c>
      <c r="I41" s="10" t="s">
        <v>282</v>
      </c>
      <c r="J41" s="10" t="s">
        <v>283</v>
      </c>
      <c r="K41" s="99" t="s">
        <v>284</v>
      </c>
    </row>
    <row r="42" customFormat="false" ht="13.8" hidden="false" customHeight="false" outlineLevel="0" collapsed="false">
      <c r="A42" s="10" t="n">
        <f aca="false">A41+1</f>
        <v>40</v>
      </c>
      <c r="B42" s="11" t="str">
        <f aca="false">com.sun.star.sheet.addin.Analysis.getDec2Hex(2560+A42)</f>
        <v>A28</v>
      </c>
      <c r="C42" s="12"/>
      <c r="D42" s="96" t="s">
        <v>285</v>
      </c>
      <c r="E42" s="10" t="s">
        <v>286</v>
      </c>
      <c r="F42" s="10"/>
      <c r="G42" s="99" t="s">
        <v>287</v>
      </c>
      <c r="H42" s="96" t="s">
        <v>288</v>
      </c>
      <c r="I42" s="10" t="s">
        <v>289</v>
      </c>
      <c r="J42" s="10" t="s">
        <v>290</v>
      </c>
      <c r="K42" s="99" t="s">
        <v>291</v>
      </c>
    </row>
    <row r="43" customFormat="false" ht="13.8" hidden="false" customHeight="false" outlineLevel="0" collapsed="false">
      <c r="A43" s="10" t="n">
        <f aca="false">A42+1</f>
        <v>41</v>
      </c>
      <c r="B43" s="11" t="str">
        <f aca="false">com.sun.star.sheet.addin.Analysis.getDec2Hex(2560+A43)</f>
        <v>A29</v>
      </c>
      <c r="C43" s="12"/>
      <c r="D43" s="96" t="s">
        <v>292</v>
      </c>
      <c r="E43" s="10" t="s">
        <v>293</v>
      </c>
      <c r="F43" s="10" t="s">
        <v>294</v>
      </c>
      <c r="G43" s="11" t="s">
        <v>295</v>
      </c>
      <c r="H43" s="97" t="s">
        <v>296</v>
      </c>
      <c r="I43" s="10" t="s">
        <v>297</v>
      </c>
      <c r="J43" s="10" t="s">
        <v>298</v>
      </c>
      <c r="K43" s="99"/>
    </row>
    <row r="44" customFormat="false" ht="13.8" hidden="false" customHeight="false" outlineLevel="0" collapsed="false">
      <c r="A44" s="10" t="n">
        <f aca="false">A43+1</f>
        <v>42</v>
      </c>
      <c r="B44" s="11" t="str">
        <f aca="false">com.sun.star.sheet.addin.Analysis.getDec2Hex(2560+A44)</f>
        <v>A2A</v>
      </c>
      <c r="C44" s="12"/>
      <c r="D44" s="96"/>
      <c r="E44" s="10"/>
      <c r="F44" s="10"/>
      <c r="G44" s="99"/>
      <c r="H44" s="96" t="s">
        <v>299</v>
      </c>
      <c r="I44" s="10" t="s">
        <v>300</v>
      </c>
      <c r="J44" s="10" t="s">
        <v>301</v>
      </c>
      <c r="K44" s="99" t="s">
        <v>302</v>
      </c>
    </row>
    <row r="45" customFormat="false" ht="13.8" hidden="false" customHeight="false" outlineLevel="0" collapsed="false">
      <c r="A45" s="10" t="n">
        <f aca="false">A44+1</f>
        <v>43</v>
      </c>
      <c r="B45" s="11" t="str">
        <f aca="false">com.sun.star.sheet.addin.Analysis.getDec2Hex(2560+A45)</f>
        <v>A2B</v>
      </c>
      <c r="C45" s="12"/>
      <c r="D45" s="96" t="s">
        <v>303</v>
      </c>
      <c r="E45" s="10"/>
      <c r="F45" s="10"/>
      <c r="G45" s="99"/>
      <c r="H45" s="96"/>
      <c r="I45" s="10"/>
      <c r="J45" s="10" t="s">
        <v>304</v>
      </c>
      <c r="K45" s="99"/>
    </row>
    <row r="46" customFormat="false" ht="13.8" hidden="false" customHeight="false" outlineLevel="0" collapsed="false">
      <c r="A46" s="10" t="n">
        <f aca="false">A45+1</f>
        <v>44</v>
      </c>
      <c r="B46" s="11" t="str">
        <f aca="false">com.sun.star.sheet.addin.Analysis.getDec2Hex(2560+A46)</f>
        <v>A2C</v>
      </c>
      <c r="C46" s="12"/>
      <c r="D46" s="96" t="s">
        <v>305</v>
      </c>
      <c r="E46" s="10"/>
      <c r="F46" s="10"/>
      <c r="G46" s="99"/>
      <c r="H46" s="96"/>
      <c r="I46" s="10"/>
      <c r="J46" s="10"/>
      <c r="K46" s="99"/>
    </row>
    <row r="47" customFormat="false" ht="13.8" hidden="false" customHeight="false" outlineLevel="0" collapsed="false">
      <c r="A47" s="10" t="n">
        <f aca="false">A46+1</f>
        <v>45</v>
      </c>
      <c r="B47" s="11" t="str">
        <f aca="false">com.sun.star.sheet.addin.Analysis.getDec2Hex(2560+A47)</f>
        <v>A2D</v>
      </c>
      <c r="C47" s="12"/>
      <c r="D47" s="96" t="s">
        <v>306</v>
      </c>
      <c r="E47" s="10" t="s">
        <v>307</v>
      </c>
      <c r="F47" s="99" t="s">
        <v>308</v>
      </c>
      <c r="G47" s="99" t="s">
        <v>309</v>
      </c>
      <c r="H47" s="96" t="s">
        <v>310</v>
      </c>
      <c r="I47" s="10" t="s">
        <v>311</v>
      </c>
      <c r="J47" s="10"/>
      <c r="K47" s="99" t="s">
        <v>312</v>
      </c>
    </row>
    <row r="48" customFormat="false" ht="13.8" hidden="false" customHeight="false" outlineLevel="0" collapsed="false">
      <c r="A48" s="10" t="n">
        <f aca="false">A47+1</f>
        <v>46</v>
      </c>
      <c r="B48" s="11" t="str">
        <f aca="false">com.sun.star.sheet.addin.Analysis.getDec2Hex(2560+A48)</f>
        <v>A2E</v>
      </c>
      <c r="C48" s="12"/>
      <c r="D48" s="96" t="s">
        <v>313</v>
      </c>
      <c r="E48" s="10" t="s">
        <v>314</v>
      </c>
      <c r="F48" s="10" t="s">
        <v>315</v>
      </c>
      <c r="G48" s="28" t="s">
        <v>316</v>
      </c>
      <c r="H48" s="96" t="s">
        <v>317</v>
      </c>
      <c r="I48" s="10"/>
      <c r="J48" s="10"/>
      <c r="K48" s="99"/>
    </row>
    <row r="49" s="62" customFormat="true" ht="13.8" hidden="false" customHeight="false" outlineLevel="0" collapsed="false">
      <c r="A49" s="54" t="n">
        <f aca="false">A48+1</f>
        <v>47</v>
      </c>
      <c r="B49" s="55" t="str">
        <f aca="false">com.sun.star.sheet.addin.Analysis.getDec2Hex(2560+A49)</f>
        <v>A2F</v>
      </c>
      <c r="C49" s="101"/>
      <c r="D49" s="102"/>
      <c r="E49" s="54"/>
      <c r="F49" s="54"/>
      <c r="G49" s="103"/>
      <c r="H49" s="102" t="s">
        <v>318</v>
      </c>
      <c r="I49" s="54"/>
      <c r="J49" s="54" t="s">
        <v>319</v>
      </c>
      <c r="K49" s="103" t="s">
        <v>320</v>
      </c>
      <c r="AMH49" s="0"/>
      <c r="AMI49" s="0"/>
      <c r="AMJ49" s="0"/>
    </row>
    <row r="50" customFormat="false" ht="13.8" hidden="false" customHeight="false" outlineLevel="0" collapsed="false">
      <c r="A50" s="63" t="n">
        <f aca="false">A49+1</f>
        <v>48</v>
      </c>
      <c r="B50" s="64" t="str">
        <f aca="false">com.sun.star.sheet.addin.Analysis.getDec2Hex(2560+A50)</f>
        <v>A30</v>
      </c>
      <c r="C50" s="65"/>
      <c r="D50" s="92"/>
      <c r="E50" s="63"/>
      <c r="F50" s="63" t="s">
        <v>321</v>
      </c>
      <c r="G50" s="95"/>
      <c r="H50" s="92"/>
      <c r="I50" s="63"/>
      <c r="J50" s="63"/>
      <c r="K50" s="95"/>
    </row>
    <row r="51" customFormat="false" ht="13.8" hidden="false" customHeight="false" outlineLevel="0" collapsed="false">
      <c r="A51" s="10" t="n">
        <f aca="false">A50+1</f>
        <v>49</v>
      </c>
      <c r="B51" s="11" t="str">
        <f aca="false">com.sun.star.sheet.addin.Analysis.getDec2Hex(2560+A51)</f>
        <v>A31</v>
      </c>
      <c r="C51" s="12"/>
      <c r="D51" s="96"/>
      <c r="E51" s="10"/>
      <c r="F51" s="10"/>
      <c r="G51" s="99"/>
      <c r="H51" s="96"/>
      <c r="I51" s="10"/>
      <c r="J51" s="10"/>
      <c r="K51" s="99"/>
    </row>
    <row r="52" customFormat="false" ht="13.8" hidden="false" customHeight="false" outlineLevel="0" collapsed="false">
      <c r="A52" s="10" t="n">
        <f aca="false">A51+1</f>
        <v>50</v>
      </c>
      <c r="B52" s="11" t="str">
        <f aca="false">com.sun.star.sheet.addin.Analysis.getDec2Hex(2560+A52)</f>
        <v>A32</v>
      </c>
      <c r="C52" s="12"/>
      <c r="D52" s="96"/>
      <c r="E52" s="10"/>
      <c r="F52" s="10"/>
      <c r="G52" s="99"/>
      <c r="H52" s="96"/>
      <c r="I52" s="10"/>
      <c r="J52" s="10"/>
      <c r="K52" s="99"/>
    </row>
    <row r="53" customFormat="false" ht="13.8" hidden="false" customHeight="false" outlineLevel="0" collapsed="false">
      <c r="A53" s="10" t="n">
        <f aca="false">A52+1</f>
        <v>51</v>
      </c>
      <c r="B53" s="11" t="str">
        <f aca="false">com.sun.star.sheet.addin.Analysis.getDec2Hex(2560+A53)</f>
        <v>A33</v>
      </c>
      <c r="C53" s="12"/>
      <c r="D53" s="96"/>
      <c r="E53" s="10"/>
      <c r="F53" s="10"/>
      <c r="G53" s="99"/>
      <c r="H53" s="96"/>
      <c r="I53" s="10"/>
      <c r="J53" s="10"/>
      <c r="K53" s="99"/>
    </row>
    <row r="54" customFormat="false" ht="13.8" hidden="false" customHeight="false" outlineLevel="0" collapsed="false">
      <c r="A54" s="10" t="n">
        <f aca="false">A53+1</f>
        <v>52</v>
      </c>
      <c r="B54" s="11" t="str">
        <f aca="false">com.sun.star.sheet.addin.Analysis.getDec2Hex(2560+A54)</f>
        <v>A34</v>
      </c>
      <c r="C54" s="12"/>
      <c r="D54" s="96"/>
      <c r="E54" s="10"/>
      <c r="F54" s="10"/>
      <c r="G54" s="99"/>
      <c r="H54" s="96"/>
      <c r="I54" s="10"/>
      <c r="J54" s="10"/>
      <c r="K54" s="99"/>
    </row>
    <row r="55" customFormat="false" ht="13.8" hidden="false" customHeight="false" outlineLevel="0" collapsed="false">
      <c r="A55" s="10" t="n">
        <f aca="false">A54+1</f>
        <v>53</v>
      </c>
      <c r="B55" s="11" t="str">
        <f aca="false">com.sun.star.sheet.addin.Analysis.getDec2Hex(2560+A55)</f>
        <v>A35</v>
      </c>
      <c r="C55" s="12"/>
      <c r="D55" s="96"/>
      <c r="E55" s="10"/>
      <c r="F55" s="10"/>
      <c r="G55" s="99"/>
      <c r="H55" s="96"/>
      <c r="I55" s="10"/>
      <c r="J55" s="10"/>
      <c r="K55" s="99"/>
    </row>
    <row r="56" customFormat="false" ht="13.8" hidden="false" customHeight="false" outlineLevel="0" collapsed="false">
      <c r="A56" s="10" t="n">
        <f aca="false">A55+1</f>
        <v>54</v>
      </c>
      <c r="B56" s="11" t="str">
        <f aca="false">com.sun.star.sheet.addin.Analysis.getDec2Hex(2560+A56)</f>
        <v>A36</v>
      </c>
      <c r="C56" s="12"/>
      <c r="D56" s="96"/>
      <c r="E56" s="10"/>
      <c r="F56" s="10"/>
      <c r="G56" s="99"/>
      <c r="H56" s="96"/>
      <c r="I56" s="10"/>
      <c r="J56" s="10"/>
      <c r="K56" s="99"/>
    </row>
    <row r="57" customFormat="false" ht="13.8" hidden="false" customHeight="false" outlineLevel="0" collapsed="false">
      <c r="A57" s="10" t="n">
        <f aca="false">A56+1</f>
        <v>55</v>
      </c>
      <c r="B57" s="11" t="str">
        <f aca="false">com.sun.star.sheet.addin.Analysis.getDec2Hex(2560+A57)</f>
        <v>A37</v>
      </c>
      <c r="C57" s="12"/>
      <c r="D57" s="96"/>
      <c r="E57" s="10"/>
      <c r="F57" s="10"/>
      <c r="G57" s="99"/>
      <c r="H57" s="96"/>
      <c r="I57" s="10"/>
      <c r="J57" s="10"/>
      <c r="K57" s="99"/>
    </row>
    <row r="58" customFormat="false" ht="13.8" hidden="false" customHeight="false" outlineLevel="0" collapsed="false">
      <c r="A58" s="10" t="n">
        <f aca="false">A57+1</f>
        <v>56</v>
      </c>
      <c r="B58" s="11" t="str">
        <f aca="false">com.sun.star.sheet.addin.Analysis.getDec2Hex(2560+A58)</f>
        <v>A38</v>
      </c>
      <c r="C58" s="12"/>
      <c r="D58" s="96"/>
      <c r="E58" s="10"/>
      <c r="F58" s="10"/>
      <c r="G58" s="99"/>
      <c r="H58" s="96"/>
      <c r="I58" s="10"/>
      <c r="J58" s="10"/>
      <c r="K58" s="99"/>
    </row>
    <row r="59" customFormat="false" ht="13.8" hidden="false" customHeight="false" outlineLevel="0" collapsed="false">
      <c r="A59" s="10" t="n">
        <f aca="false">A58+1</f>
        <v>57</v>
      </c>
      <c r="B59" s="11" t="str">
        <f aca="false">com.sun.star.sheet.addin.Analysis.getDec2Hex(2560+A59)</f>
        <v>A39</v>
      </c>
      <c r="C59" s="12"/>
      <c r="D59" s="96"/>
      <c r="E59" s="10"/>
      <c r="F59" s="10"/>
      <c r="G59" s="99"/>
      <c r="H59" s="96"/>
      <c r="I59" s="10"/>
      <c r="J59" s="10"/>
      <c r="K59" s="99"/>
    </row>
    <row r="60" customFormat="false" ht="13.8" hidden="false" customHeight="false" outlineLevel="0" collapsed="false">
      <c r="A60" s="10" t="n">
        <f aca="false">A59+1</f>
        <v>58</v>
      </c>
      <c r="B60" s="11" t="str">
        <f aca="false">com.sun.star.sheet.addin.Analysis.getDec2Hex(2560+A60)</f>
        <v>A3A</v>
      </c>
      <c r="C60" s="12"/>
      <c r="D60" s="96"/>
      <c r="E60" s="10"/>
      <c r="F60" s="10"/>
      <c r="G60" s="99"/>
      <c r="H60" s="96"/>
      <c r="I60" s="10"/>
      <c r="J60" s="10"/>
      <c r="K60" s="99"/>
    </row>
    <row r="61" customFormat="false" ht="13.8" hidden="false" customHeight="false" outlineLevel="0" collapsed="false">
      <c r="A61" s="10" t="n">
        <f aca="false">A60+1</f>
        <v>59</v>
      </c>
      <c r="B61" s="11" t="str">
        <f aca="false">com.sun.star.sheet.addin.Analysis.getDec2Hex(2560+A61)</f>
        <v>A3B</v>
      </c>
      <c r="C61" s="12"/>
      <c r="D61" s="96"/>
      <c r="E61" s="10"/>
      <c r="F61" s="10"/>
      <c r="G61" s="99"/>
      <c r="H61" s="96"/>
      <c r="I61" s="10"/>
      <c r="J61" s="10"/>
      <c r="K61" s="99"/>
    </row>
    <row r="62" customFormat="false" ht="13.8" hidden="false" customHeight="false" outlineLevel="0" collapsed="false">
      <c r="A62" s="10" t="n">
        <f aca="false">A61+1</f>
        <v>60</v>
      </c>
      <c r="B62" s="11" t="str">
        <f aca="false">com.sun.star.sheet.addin.Analysis.getDec2Hex(2560+A62)</f>
        <v>A3C</v>
      </c>
      <c r="C62" s="12"/>
      <c r="D62" s="96"/>
      <c r="E62" s="10"/>
      <c r="F62" s="10"/>
      <c r="G62" s="99"/>
      <c r="H62" s="96"/>
      <c r="I62" s="10"/>
      <c r="J62" s="10"/>
      <c r="K62" s="99"/>
    </row>
    <row r="63" customFormat="false" ht="13.8" hidden="false" customHeight="false" outlineLevel="0" collapsed="false">
      <c r="A63" s="10" t="n">
        <f aca="false">A62+1</f>
        <v>61</v>
      </c>
      <c r="B63" s="11" t="str">
        <f aca="false">com.sun.star.sheet.addin.Analysis.getDec2Hex(2560+A63)</f>
        <v>A3D</v>
      </c>
      <c r="C63" s="12"/>
      <c r="D63" s="96"/>
      <c r="E63" s="10"/>
      <c r="F63" s="10"/>
      <c r="G63" s="99"/>
      <c r="H63" s="96"/>
      <c r="I63" s="10"/>
      <c r="J63" s="10"/>
      <c r="K63" s="99"/>
    </row>
    <row r="64" customFormat="false" ht="13.8" hidden="false" customHeight="false" outlineLevel="0" collapsed="false">
      <c r="A64" s="10" t="n">
        <f aca="false">A63+1</f>
        <v>62</v>
      </c>
      <c r="B64" s="11" t="str">
        <f aca="false">com.sun.star.sheet.addin.Analysis.getDec2Hex(2560+A64)</f>
        <v>A3E</v>
      </c>
      <c r="C64" s="12"/>
      <c r="D64" s="96"/>
      <c r="E64" s="10"/>
      <c r="F64" s="10"/>
      <c r="G64" s="99"/>
      <c r="H64" s="96"/>
      <c r="I64" s="10"/>
      <c r="J64" s="10"/>
      <c r="K64" s="99"/>
    </row>
    <row r="65" s="62" customFormat="true" ht="13.8" hidden="false" customHeight="false" outlineLevel="0" collapsed="false">
      <c r="A65" s="54" t="n">
        <f aca="false">A64+1</f>
        <v>63</v>
      </c>
      <c r="B65" s="55" t="str">
        <f aca="false">com.sun.star.sheet.addin.Analysis.getDec2Hex(2560+A65)</f>
        <v>A3F</v>
      </c>
      <c r="C65" s="101"/>
      <c r="D65" s="102"/>
      <c r="E65" s="54"/>
      <c r="F65" s="54"/>
      <c r="G65" s="103"/>
      <c r="H65" s="102"/>
      <c r="I65" s="54"/>
      <c r="J65" s="54"/>
      <c r="K65" s="103"/>
      <c r="AMH65" s="0"/>
      <c r="AMI65" s="0"/>
      <c r="AMJ65" s="0"/>
    </row>
    <row r="66" customFormat="false" ht="13.8" hidden="false" customHeight="false" outlineLevel="0" collapsed="false">
      <c r="A66" s="63" t="n">
        <f aca="false">A65+1</f>
        <v>64</v>
      </c>
      <c r="B66" s="64" t="str">
        <f aca="false">com.sun.star.sheet.addin.Analysis.getDec2Hex(2560+A66)</f>
        <v>A40</v>
      </c>
      <c r="C66" s="65" t="s">
        <v>322</v>
      </c>
      <c r="D66" s="104" t="str">
        <f aca="false">"Chest "&amp;8*($A66-64)+D$1</f>
        <v>Chest 7</v>
      </c>
      <c r="E66" s="20" t="str">
        <f aca="false">"Chest "&amp;8*($A66-64)+E$1</f>
        <v>Chest 6</v>
      </c>
      <c r="F66" s="20" t="str">
        <f aca="false">"Chest "&amp;8*($A66-64)+F$1</f>
        <v>Chest 5</v>
      </c>
      <c r="G66" s="105" t="str">
        <f aca="false">"Chest "&amp;8*($A66-64)+G$1</f>
        <v>Chest 4</v>
      </c>
      <c r="H66" s="106" t="str">
        <f aca="false">"Chest "&amp;8*($A66-64)+H$1</f>
        <v>Chest 3</v>
      </c>
      <c r="I66" s="20" t="str">
        <f aca="false">"Chest "&amp;8*($A66-64)+I$1</f>
        <v>Chest 2</v>
      </c>
      <c r="J66" s="20" t="str">
        <f aca="false">"Chest "&amp;8*($A66-64)+J$1</f>
        <v>Chest 1</v>
      </c>
      <c r="K66" s="20"/>
    </row>
    <row r="67" customFormat="false" ht="13.8" hidden="false" customHeight="false" outlineLevel="0" collapsed="false">
      <c r="A67" s="10" t="n">
        <f aca="false">A66+1</f>
        <v>65</v>
      </c>
      <c r="B67" s="11" t="str">
        <f aca="false">com.sun.star.sheet.addin.Analysis.getDec2Hex(2560+A67)</f>
        <v>A41</v>
      </c>
      <c r="C67" s="12"/>
      <c r="D67" s="104" t="str">
        <f aca="false">"Chest "&amp;8*($A67-64)+D$1</f>
        <v>Chest 15</v>
      </c>
      <c r="E67" s="20" t="str">
        <f aca="false">"Chest "&amp;8*($A67-64)+E$1</f>
        <v>Chest 14</v>
      </c>
      <c r="F67" s="20" t="str">
        <f aca="false">"Chest "&amp;8*($A67-64)+F$1</f>
        <v>Chest 13</v>
      </c>
      <c r="G67" s="107" t="str">
        <f aca="false">"Chest "&amp;8*($A67-64)+G$1</f>
        <v>Chest 12</v>
      </c>
      <c r="H67" s="106" t="str">
        <f aca="false">"Chest "&amp;8*($A67-64)+H$1</f>
        <v>Chest 11</v>
      </c>
      <c r="I67" s="20" t="str">
        <f aca="false">"Chest "&amp;8*($A67-64)+I$1</f>
        <v>Chest 10</v>
      </c>
      <c r="J67" s="20" t="str">
        <f aca="false">"Chest "&amp;8*($A67-64)+J$1</f>
        <v>Chest 9</v>
      </c>
      <c r="K67" s="20" t="str">
        <f aca="false">"Chest "&amp;8*($A67-64)+K$1</f>
        <v>Chest 8</v>
      </c>
    </row>
    <row r="68" customFormat="false" ht="13.8" hidden="false" customHeight="false" outlineLevel="0" collapsed="false">
      <c r="A68" s="10" t="n">
        <f aca="false">A67+1</f>
        <v>66</v>
      </c>
      <c r="B68" s="11" t="str">
        <f aca="false">com.sun.star.sheet.addin.Analysis.getDec2Hex(2560+A68)</f>
        <v>A42</v>
      </c>
      <c r="C68" s="12"/>
      <c r="D68" s="104" t="str">
        <f aca="false">"Chest "&amp;8*($A68-64)+D$1</f>
        <v>Chest 23</v>
      </c>
      <c r="E68" s="20" t="str">
        <f aca="false">"Chest "&amp;8*($A68-64)+E$1</f>
        <v>Chest 22</v>
      </c>
      <c r="F68" s="20" t="str">
        <f aca="false">"Chest "&amp;8*($A68-64)+F$1</f>
        <v>Chest 21</v>
      </c>
      <c r="G68" s="107" t="str">
        <f aca="false">"Chest "&amp;8*($A68-64)+G$1</f>
        <v>Chest 20</v>
      </c>
      <c r="H68" s="106" t="str">
        <f aca="false">"Chest "&amp;8*($A68-64)+H$1</f>
        <v>Chest 19</v>
      </c>
      <c r="I68" s="20" t="str">
        <f aca="false">"Chest "&amp;8*($A68-64)+I$1</f>
        <v>Chest 18</v>
      </c>
      <c r="J68" s="20" t="str">
        <f aca="false">"Chest "&amp;8*($A68-64)+J$1</f>
        <v>Chest 17</v>
      </c>
      <c r="K68" s="20" t="str">
        <f aca="false">"Chest "&amp;8*($A68-64)+K$1</f>
        <v>Chest 16</v>
      </c>
    </row>
    <row r="69" customFormat="false" ht="13.8" hidden="false" customHeight="false" outlineLevel="0" collapsed="false">
      <c r="A69" s="10" t="n">
        <f aca="false">A68+1</f>
        <v>67</v>
      </c>
      <c r="B69" s="11" t="str">
        <f aca="false">com.sun.star.sheet.addin.Analysis.getDec2Hex(2560+A69)</f>
        <v>A43</v>
      </c>
      <c r="C69" s="12"/>
      <c r="D69" s="104" t="str">
        <f aca="false">"Chest "&amp;8*($A69-64)+D$1</f>
        <v>Chest 31</v>
      </c>
      <c r="E69" s="20" t="str">
        <f aca="false">"Chest "&amp;8*($A69-64)+E$1</f>
        <v>Chest 30</v>
      </c>
      <c r="F69" s="20" t="str">
        <f aca="false">"Chest "&amp;8*($A69-64)+F$1</f>
        <v>Chest 29</v>
      </c>
      <c r="G69" s="107" t="str">
        <f aca="false">"Chest "&amp;8*($A69-64)+G$1</f>
        <v>Chest 28</v>
      </c>
      <c r="H69" s="106" t="str">
        <f aca="false">"Chest "&amp;8*($A69-64)+H$1</f>
        <v>Chest 27</v>
      </c>
      <c r="I69" s="20" t="str">
        <f aca="false">"Chest "&amp;8*($A69-64)+I$1</f>
        <v>Chest 26</v>
      </c>
      <c r="J69" s="20" t="str">
        <f aca="false">"Chest "&amp;8*($A69-64)+J$1</f>
        <v>Chest 25</v>
      </c>
      <c r="K69" s="20" t="str">
        <f aca="false">"Chest "&amp;8*($A69-64)+K$1</f>
        <v>Chest 24</v>
      </c>
    </row>
    <row r="70" customFormat="false" ht="13.8" hidden="false" customHeight="false" outlineLevel="0" collapsed="false">
      <c r="A70" s="10" t="n">
        <f aca="false">A69+1</f>
        <v>68</v>
      </c>
      <c r="B70" s="11" t="str">
        <f aca="false">com.sun.star.sheet.addin.Analysis.getDec2Hex(2560+A70)</f>
        <v>A44</v>
      </c>
      <c r="C70" s="12"/>
      <c r="D70" s="104" t="str">
        <f aca="false">"Chest "&amp;8*($A70-64)+D$1</f>
        <v>Chest 39</v>
      </c>
      <c r="E70" s="20" t="str">
        <f aca="false">"Chest "&amp;8*($A70-64)+E$1</f>
        <v>Chest 38</v>
      </c>
      <c r="F70" s="20" t="str">
        <f aca="false">"Chest "&amp;8*($A70-64)+F$1</f>
        <v>Chest 37</v>
      </c>
      <c r="G70" s="107" t="str">
        <f aca="false">"Chest "&amp;8*($A70-64)+G$1</f>
        <v>Chest 36</v>
      </c>
      <c r="H70" s="106" t="str">
        <f aca="false">"Chest "&amp;8*($A70-64)+H$1</f>
        <v>Chest 35</v>
      </c>
      <c r="I70" s="20" t="str">
        <f aca="false">"Chest "&amp;8*($A70-64)+I$1</f>
        <v>Chest 34</v>
      </c>
      <c r="J70" s="20" t="str">
        <f aca="false">"Chest "&amp;8*($A70-64)+J$1</f>
        <v>Chest 33</v>
      </c>
      <c r="K70" s="20" t="str">
        <f aca="false">"Chest "&amp;8*($A70-64)+K$1</f>
        <v>Chest 32</v>
      </c>
    </row>
    <row r="71" customFormat="false" ht="13.8" hidden="false" customHeight="false" outlineLevel="0" collapsed="false">
      <c r="A71" s="10" t="n">
        <f aca="false">A70+1</f>
        <v>69</v>
      </c>
      <c r="B71" s="11" t="str">
        <f aca="false">com.sun.star.sheet.addin.Analysis.getDec2Hex(2560+A71)</f>
        <v>A45</v>
      </c>
      <c r="C71" s="12"/>
      <c r="D71" s="108" t="s">
        <v>323</v>
      </c>
      <c r="E71" s="20" t="str">
        <f aca="false">"Chest "&amp;8*($A71-64)+E$1</f>
        <v>Chest 46</v>
      </c>
      <c r="F71" s="20" t="str">
        <f aca="false">"Chest "&amp;8*($A71-64)+F$1</f>
        <v>Chest 45</v>
      </c>
      <c r="G71" s="107" t="str">
        <f aca="false">"Chest "&amp;8*($A71-64)+G$1</f>
        <v>Chest 44</v>
      </c>
      <c r="H71" s="106" t="str">
        <f aca="false">"Chest "&amp;8*($A71-64)+H$1</f>
        <v>Chest 43</v>
      </c>
      <c r="I71" s="20" t="str">
        <f aca="false">"Chest "&amp;8*($A71-64)+I$1</f>
        <v>Chest 42</v>
      </c>
      <c r="J71" s="20" t="str">
        <f aca="false">"Chest "&amp;8*($A71-64)+J$1</f>
        <v>Chest 41</v>
      </c>
      <c r="K71" s="20" t="str">
        <f aca="false">"Chest "&amp;8*($A71-64)+K$1</f>
        <v>Chest 40</v>
      </c>
    </row>
    <row r="72" customFormat="false" ht="13.8" hidden="false" customHeight="false" outlineLevel="0" collapsed="false">
      <c r="A72" s="10" t="n">
        <f aca="false">A71+1</f>
        <v>70</v>
      </c>
      <c r="B72" s="11" t="str">
        <f aca="false">com.sun.star.sheet.addin.Analysis.getDec2Hex(2560+A72)</f>
        <v>A46</v>
      </c>
      <c r="C72" s="12"/>
      <c r="D72" s="109" t="s">
        <v>324</v>
      </c>
      <c r="E72" s="109" t="s">
        <v>325</v>
      </c>
      <c r="F72" s="109" t="s">
        <v>326</v>
      </c>
      <c r="G72" s="109" t="s">
        <v>327</v>
      </c>
      <c r="H72" s="109" t="s">
        <v>328</v>
      </c>
      <c r="I72" s="109" t="s">
        <v>329</v>
      </c>
      <c r="J72" s="109" t="s">
        <v>330</v>
      </c>
      <c r="K72" s="109" t="s">
        <v>331</v>
      </c>
    </row>
    <row r="73" customFormat="false" ht="13.8" hidden="false" customHeight="false" outlineLevel="0" collapsed="false">
      <c r="A73" s="10" t="n">
        <f aca="false">A72+1</f>
        <v>71</v>
      </c>
      <c r="B73" s="11" t="str">
        <f aca="false">com.sun.star.sheet.addin.Analysis.getDec2Hex(2560+A73)</f>
        <v>A47</v>
      </c>
      <c r="C73" s="12"/>
      <c r="D73" s="109" t="s">
        <v>332</v>
      </c>
      <c r="E73" s="109" t="s">
        <v>333</v>
      </c>
      <c r="F73" s="109" t="s">
        <v>334</v>
      </c>
      <c r="G73" s="109" t="s">
        <v>335</v>
      </c>
      <c r="H73" s="109" t="s">
        <v>336</v>
      </c>
      <c r="I73" s="109" t="s">
        <v>337</v>
      </c>
      <c r="J73" s="109" t="s">
        <v>338</v>
      </c>
      <c r="K73" s="109" t="s">
        <v>339</v>
      </c>
    </row>
    <row r="74" customFormat="false" ht="13.8" hidden="false" customHeight="false" outlineLevel="0" collapsed="false">
      <c r="A74" s="10" t="n">
        <f aca="false">A73+1</f>
        <v>72</v>
      </c>
      <c r="B74" s="11" t="str">
        <f aca="false">com.sun.star.sheet.addin.Analysis.getDec2Hex(2560+A74)</f>
        <v>A48</v>
      </c>
      <c r="C74" s="12"/>
      <c r="D74" s="109" t="s">
        <v>340</v>
      </c>
      <c r="E74" s="109" t="s">
        <v>341</v>
      </c>
      <c r="F74" s="109" t="s">
        <v>342</v>
      </c>
      <c r="G74" s="109" t="s">
        <v>343</v>
      </c>
      <c r="H74" s="109" t="s">
        <v>344</v>
      </c>
      <c r="I74" s="109" t="s">
        <v>345</v>
      </c>
      <c r="J74" s="109" t="s">
        <v>346</v>
      </c>
      <c r="K74" s="109" t="s">
        <v>347</v>
      </c>
    </row>
    <row r="75" customFormat="false" ht="13.8" hidden="false" customHeight="false" outlineLevel="0" collapsed="false">
      <c r="A75" s="10" t="n">
        <f aca="false">A74+1</f>
        <v>73</v>
      </c>
      <c r="B75" s="11" t="str">
        <f aca="false">com.sun.star.sheet.addin.Analysis.getDec2Hex(2560+A75)</f>
        <v>A49</v>
      </c>
      <c r="C75" s="12"/>
      <c r="D75" s="110" t="s">
        <v>348</v>
      </c>
      <c r="E75" s="110"/>
      <c r="F75" s="110"/>
      <c r="G75" s="110"/>
      <c r="H75" s="110"/>
      <c r="I75" s="110"/>
      <c r="J75" s="110"/>
      <c r="K75" s="110"/>
    </row>
    <row r="76" customFormat="false" ht="13.8" hidden="false" customHeight="false" outlineLevel="0" collapsed="false">
      <c r="A76" s="10" t="n">
        <f aca="false">A75+1</f>
        <v>74</v>
      </c>
      <c r="B76" s="11" t="str">
        <f aca="false">com.sun.star.sheet.addin.Analysis.getDec2Hex(2560+A76)</f>
        <v>A4A</v>
      </c>
      <c r="C76" s="12"/>
      <c r="D76" s="110" t="s">
        <v>349</v>
      </c>
      <c r="E76" s="110"/>
      <c r="F76" s="110"/>
      <c r="G76" s="110"/>
      <c r="H76" s="110"/>
      <c r="I76" s="110"/>
      <c r="J76" s="110"/>
      <c r="K76" s="110"/>
    </row>
    <row r="77" customFormat="false" ht="13.8" hidden="false" customHeight="false" outlineLevel="0" collapsed="false">
      <c r="A77" s="10" t="n">
        <f aca="false">A76+1</f>
        <v>75</v>
      </c>
      <c r="B77" s="11" t="str">
        <f aca="false">com.sun.star.sheet.addin.Analysis.getDec2Hex(2560+A77)</f>
        <v>A4B</v>
      </c>
      <c r="C77" s="12"/>
      <c r="D77" s="110" t="s">
        <v>350</v>
      </c>
      <c r="E77" s="110"/>
      <c r="F77" s="110"/>
      <c r="G77" s="110"/>
      <c r="H77" s="110"/>
      <c r="I77" s="110"/>
      <c r="J77" s="110"/>
      <c r="K77" s="110"/>
    </row>
    <row r="78" customFormat="false" ht="13.8" hidden="false" customHeight="false" outlineLevel="0" collapsed="false">
      <c r="A78" s="10" t="n">
        <f aca="false">A77+1</f>
        <v>76</v>
      </c>
      <c r="B78" s="11" t="str">
        <f aca="false">com.sun.star.sheet.addin.Analysis.getDec2Hex(2560+A78)</f>
        <v>A4C</v>
      </c>
      <c r="C78" s="12"/>
      <c r="D78" s="110" t="s">
        <v>351</v>
      </c>
      <c r="E78" s="110"/>
      <c r="F78" s="110"/>
      <c r="G78" s="110"/>
      <c r="H78" s="110"/>
      <c r="I78" s="110"/>
      <c r="J78" s="110"/>
      <c r="K78" s="110"/>
    </row>
    <row r="79" customFormat="false" ht="13.8" hidden="false" customHeight="false" outlineLevel="0" collapsed="false">
      <c r="A79" s="10" t="n">
        <f aca="false">A78+1</f>
        <v>77</v>
      </c>
      <c r="B79" s="11" t="str">
        <f aca="false">com.sun.star.sheet.addin.Analysis.getDec2Hex(2560+A79)</f>
        <v>A4D</v>
      </c>
      <c r="C79" s="12"/>
      <c r="D79" s="110" t="s">
        <v>352</v>
      </c>
      <c r="E79" s="110"/>
      <c r="F79" s="110"/>
      <c r="G79" s="110"/>
      <c r="H79" s="110"/>
      <c r="I79" s="110"/>
      <c r="J79" s="110"/>
      <c r="K79" s="110"/>
    </row>
    <row r="80" customFormat="false" ht="13.8" hidden="false" customHeight="false" outlineLevel="0" collapsed="false">
      <c r="A80" s="10" t="n">
        <f aca="false">A79+1</f>
        <v>78</v>
      </c>
      <c r="B80" s="11" t="str">
        <f aca="false">com.sun.star.sheet.addin.Analysis.getDec2Hex(2560+A80)</f>
        <v>A4E</v>
      </c>
      <c r="C80" s="12"/>
      <c r="D80" s="110" t="s">
        <v>353</v>
      </c>
      <c r="E80" s="110"/>
      <c r="F80" s="110"/>
      <c r="G80" s="110"/>
      <c r="H80" s="110"/>
      <c r="I80" s="110"/>
      <c r="J80" s="110"/>
      <c r="K80" s="110"/>
    </row>
    <row r="81" s="62" customFormat="true" ht="13.8" hidden="false" customHeight="false" outlineLevel="0" collapsed="false">
      <c r="A81" s="54" t="n">
        <f aca="false">A80+1</f>
        <v>79</v>
      </c>
      <c r="B81" s="55" t="str">
        <f aca="false">com.sun.star.sheet.addin.Analysis.getDec2Hex(2560+A81)</f>
        <v>A4F</v>
      </c>
      <c r="C81" s="101"/>
      <c r="D81" s="111" t="s">
        <v>354</v>
      </c>
      <c r="E81" s="111"/>
      <c r="F81" s="111"/>
      <c r="G81" s="111"/>
      <c r="H81" s="111"/>
      <c r="I81" s="111"/>
      <c r="J81" s="111"/>
      <c r="K81" s="111"/>
      <c r="AMH81" s="0"/>
      <c r="AMI81" s="0"/>
      <c r="AMJ81" s="0"/>
    </row>
    <row r="82" customFormat="false" ht="13.8" hidden="false" customHeight="false" outlineLevel="0" collapsed="false">
      <c r="A82" s="63" t="n">
        <f aca="false">A81+1</f>
        <v>80</v>
      </c>
      <c r="B82" s="64" t="str">
        <f aca="false">com.sun.star.sheet.addin.Analysis.getDec2Hex(2560+A82)</f>
        <v>A50</v>
      </c>
      <c r="C82" s="65" t="s">
        <v>355</v>
      </c>
      <c r="D82" s="24" t="s">
        <v>356</v>
      </c>
      <c r="E82" s="23" t="s">
        <v>357</v>
      </c>
      <c r="F82" s="23" t="s">
        <v>358</v>
      </c>
      <c r="G82" s="23" t="s">
        <v>359</v>
      </c>
      <c r="H82" s="24" t="s">
        <v>360</v>
      </c>
      <c r="I82" s="23" t="s">
        <v>361</v>
      </c>
      <c r="J82" s="23" t="s">
        <v>362</v>
      </c>
      <c r="K82" s="73" t="s">
        <v>363</v>
      </c>
    </row>
    <row r="83" customFormat="false" ht="13.8" hidden="false" customHeight="false" outlineLevel="0" collapsed="false">
      <c r="A83" s="10" t="n">
        <f aca="false">A82+1</f>
        <v>81</v>
      </c>
      <c r="B83" s="11" t="str">
        <f aca="false">com.sun.star.sheet.addin.Analysis.getDec2Hex(2560+A83)</f>
        <v>A51</v>
      </c>
      <c r="C83" s="12"/>
      <c r="D83" s="96"/>
      <c r="E83" s="10"/>
      <c r="F83" s="23" t="s">
        <v>364</v>
      </c>
      <c r="G83" s="23" t="s">
        <v>365</v>
      </c>
      <c r="H83" s="24" t="s">
        <v>366</v>
      </c>
      <c r="I83" s="23" t="s">
        <v>367</v>
      </c>
      <c r="J83" s="23" t="s">
        <v>368</v>
      </c>
      <c r="K83" s="73" t="s">
        <v>369</v>
      </c>
    </row>
    <row r="84" customFormat="false" ht="13.8" hidden="false" customHeight="false" outlineLevel="0" collapsed="false">
      <c r="A84" s="10" t="n">
        <f aca="false">A83+1</f>
        <v>82</v>
      </c>
      <c r="B84" s="11" t="str">
        <f aca="false">com.sun.star.sheet.addin.Analysis.getDec2Hex(2560+A84)</f>
        <v>A52</v>
      </c>
      <c r="C84" s="12"/>
      <c r="D84" s="109" t="s">
        <v>370</v>
      </c>
      <c r="E84" s="109" t="s">
        <v>371</v>
      </c>
      <c r="F84" s="109" t="s">
        <v>372</v>
      </c>
      <c r="G84" s="109" t="s">
        <v>373</v>
      </c>
      <c r="H84" s="109" t="s">
        <v>374</v>
      </c>
      <c r="I84" s="109" t="s">
        <v>375</v>
      </c>
      <c r="J84" s="109" t="s">
        <v>376</v>
      </c>
      <c r="K84" s="109" t="s">
        <v>377</v>
      </c>
    </row>
    <row r="85" customFormat="false" ht="13.8" hidden="false" customHeight="false" outlineLevel="0" collapsed="false">
      <c r="A85" s="10" t="n">
        <f aca="false">A84+1</f>
        <v>83</v>
      </c>
      <c r="B85" s="11" t="str">
        <f aca="false">com.sun.star.sheet.addin.Analysis.getDec2Hex(2560+A85)</f>
        <v>A53</v>
      </c>
      <c r="C85" s="12"/>
      <c r="D85" s="109" t="s">
        <v>378</v>
      </c>
      <c r="E85" s="109" t="s">
        <v>379</v>
      </c>
      <c r="F85" s="109" t="s">
        <v>380</v>
      </c>
      <c r="G85" s="109" t="s">
        <v>381</v>
      </c>
      <c r="H85" s="109" t="s">
        <v>382</v>
      </c>
      <c r="I85" s="109" t="s">
        <v>383</v>
      </c>
      <c r="J85" s="109" t="s">
        <v>384</v>
      </c>
      <c r="K85" s="109" t="s">
        <v>385</v>
      </c>
    </row>
    <row r="86" customFormat="false" ht="13.8" hidden="false" customHeight="false" outlineLevel="0" collapsed="false">
      <c r="A86" s="10" t="n">
        <f aca="false">A85+1</f>
        <v>84</v>
      </c>
      <c r="B86" s="11" t="str">
        <f aca="false">com.sun.star.sheet.addin.Analysis.getDec2Hex(2560+A86)</f>
        <v>A54</v>
      </c>
      <c r="C86" s="12"/>
      <c r="D86" s="96"/>
      <c r="E86" s="10"/>
      <c r="F86" s="10"/>
      <c r="G86" s="99"/>
      <c r="H86" s="96"/>
      <c r="I86" s="10"/>
      <c r="J86" s="10"/>
      <c r="K86" s="109" t="s">
        <v>386</v>
      </c>
    </row>
    <row r="87" customFormat="false" ht="13.8" hidden="false" customHeight="false" outlineLevel="0" collapsed="false">
      <c r="A87" s="10" t="n">
        <f aca="false">A86+1</f>
        <v>85</v>
      </c>
      <c r="B87" s="11" t="str">
        <f aca="false">com.sun.star.sheet.addin.Analysis.getDec2Hex(2560+A87)</f>
        <v>A55</v>
      </c>
      <c r="C87" s="12"/>
      <c r="D87" s="0"/>
      <c r="E87" s="0"/>
      <c r="F87" s="0"/>
      <c r="G87" s="0"/>
      <c r="H87" s="0"/>
      <c r="I87" s="0"/>
      <c r="J87" s="0"/>
      <c r="K87" s="0"/>
    </row>
    <row r="88" customFormat="false" ht="13.8" hidden="false" customHeight="false" outlineLevel="0" collapsed="false">
      <c r="A88" s="10" t="n">
        <f aca="false">A87+1</f>
        <v>86</v>
      </c>
      <c r="B88" s="11" t="str">
        <f aca="false">com.sun.star.sheet.addin.Analysis.getDec2Hex(2560+A88)</f>
        <v>A56</v>
      </c>
      <c r="C88" s="12" t="s">
        <v>387</v>
      </c>
      <c r="D88" s="109" t="s">
        <v>388</v>
      </c>
      <c r="E88" s="109" t="s">
        <v>389</v>
      </c>
      <c r="F88" s="109" t="s">
        <v>390</v>
      </c>
      <c r="G88" s="109" t="s">
        <v>391</v>
      </c>
      <c r="H88" s="109" t="s">
        <v>392</v>
      </c>
      <c r="I88" s="109" t="s">
        <v>393</v>
      </c>
      <c r="J88" s="109" t="s">
        <v>394</v>
      </c>
      <c r="K88" s="109" t="s">
        <v>395</v>
      </c>
    </row>
    <row r="89" customFormat="false" ht="13.8" hidden="false" customHeight="false" outlineLevel="0" collapsed="false">
      <c r="A89" s="10" t="n">
        <f aca="false">A88+1</f>
        <v>87</v>
      </c>
      <c r="B89" s="11" t="str">
        <f aca="false">com.sun.star.sheet.addin.Analysis.getDec2Hex(2560+A89)</f>
        <v>A57</v>
      </c>
      <c r="C89" s="12"/>
      <c r="D89" s="96"/>
      <c r="E89" s="10"/>
      <c r="F89" s="10"/>
      <c r="G89" s="99"/>
      <c r="H89" s="96"/>
      <c r="I89" s="10"/>
      <c r="J89" s="10"/>
      <c r="K89" s="99"/>
    </row>
    <row r="90" customFormat="false" ht="13.8" hidden="false" customHeight="false" outlineLevel="0" collapsed="false">
      <c r="A90" s="10" t="n">
        <f aca="false">A89+1</f>
        <v>88</v>
      </c>
      <c r="B90" s="11" t="str">
        <f aca="false">com.sun.star.sheet.addin.Analysis.getDec2Hex(2560+A90)</f>
        <v>A58</v>
      </c>
      <c r="C90" s="12"/>
      <c r="D90" s="110" t="s">
        <v>396</v>
      </c>
      <c r="E90" s="110"/>
      <c r="F90" s="110"/>
      <c r="G90" s="110"/>
      <c r="H90" s="110"/>
      <c r="I90" s="110"/>
      <c r="J90" s="110"/>
      <c r="K90" s="110"/>
    </row>
    <row r="91" customFormat="false" ht="13.8" hidden="false" customHeight="false" outlineLevel="0" collapsed="false">
      <c r="A91" s="10" t="n">
        <f aca="false">A90+1</f>
        <v>89</v>
      </c>
      <c r="B91" s="11" t="str">
        <f aca="false">com.sun.star.sheet.addin.Analysis.getDec2Hex(2560+A91)</f>
        <v>A59</v>
      </c>
      <c r="C91" s="12"/>
      <c r="D91" s="110" t="s">
        <v>397</v>
      </c>
      <c r="E91" s="110"/>
      <c r="F91" s="110"/>
      <c r="G91" s="110"/>
      <c r="H91" s="110"/>
      <c r="I91" s="110"/>
      <c r="J91" s="110"/>
      <c r="K91" s="110"/>
    </row>
    <row r="92" customFormat="false" ht="13.8" hidden="false" customHeight="false" outlineLevel="0" collapsed="false">
      <c r="A92" s="10" t="n">
        <f aca="false">A91+1</f>
        <v>90</v>
      </c>
      <c r="B92" s="11" t="str">
        <f aca="false">com.sun.star.sheet.addin.Analysis.getDec2Hex(2560+A92)</f>
        <v>A5A</v>
      </c>
      <c r="C92" s="12"/>
      <c r="D92" s="110" t="s">
        <v>398</v>
      </c>
      <c r="E92" s="110"/>
      <c r="F92" s="110"/>
      <c r="G92" s="110"/>
      <c r="H92" s="110"/>
      <c r="I92" s="110"/>
      <c r="J92" s="110"/>
      <c r="K92" s="110"/>
    </row>
    <row r="93" customFormat="false" ht="13.8" hidden="false" customHeight="false" outlineLevel="0" collapsed="false">
      <c r="A93" s="10" t="n">
        <f aca="false">A92+1</f>
        <v>91</v>
      </c>
      <c r="B93" s="11" t="str">
        <f aca="false">com.sun.star.sheet.addin.Analysis.getDec2Hex(2560+A93)</f>
        <v>A5B</v>
      </c>
      <c r="C93" s="12"/>
      <c r="D93" s="112" t="s">
        <v>399</v>
      </c>
      <c r="E93" s="112"/>
      <c r="F93" s="112"/>
      <c r="G93" s="112"/>
      <c r="H93" s="112"/>
      <c r="I93" s="112"/>
      <c r="J93" s="112"/>
      <c r="K93" s="112"/>
    </row>
    <row r="94" customFormat="false" ht="13.8" hidden="false" customHeight="false" outlineLevel="0" collapsed="false">
      <c r="A94" s="10" t="n">
        <f aca="false">A93+1</f>
        <v>92</v>
      </c>
      <c r="B94" s="11" t="str">
        <f aca="false">com.sun.star.sheet.addin.Analysis.getDec2Hex(2560+A94)</f>
        <v>A5C</v>
      </c>
      <c r="C94" s="12"/>
      <c r="D94" s="112" t="s">
        <v>400</v>
      </c>
      <c r="E94" s="112"/>
      <c r="F94" s="112"/>
      <c r="G94" s="112"/>
      <c r="H94" s="112"/>
      <c r="I94" s="112"/>
      <c r="J94" s="112"/>
      <c r="K94" s="112"/>
    </row>
    <row r="95" customFormat="false" ht="13.8" hidden="false" customHeight="false" outlineLevel="0" collapsed="false">
      <c r="A95" s="10" t="n">
        <f aca="false">A94+1</f>
        <v>93</v>
      </c>
      <c r="B95" s="11" t="str">
        <f aca="false">com.sun.star.sheet.addin.Analysis.getDec2Hex(2560+A95)</f>
        <v>A5D</v>
      </c>
      <c r="C95" s="12"/>
      <c r="D95" s="112" t="s">
        <v>401</v>
      </c>
      <c r="E95" s="112"/>
      <c r="F95" s="112"/>
      <c r="G95" s="112"/>
      <c r="H95" s="112"/>
      <c r="I95" s="112"/>
      <c r="J95" s="112"/>
      <c r="K95" s="112"/>
    </row>
    <row r="96" customFormat="false" ht="13.8" hidden="false" customHeight="false" outlineLevel="0" collapsed="false">
      <c r="A96" s="10" t="n">
        <f aca="false">A95+1</f>
        <v>94</v>
      </c>
      <c r="B96" s="11" t="str">
        <f aca="false">com.sun.star.sheet.addin.Analysis.getDec2Hex(2560+A96)</f>
        <v>A5E</v>
      </c>
      <c r="C96" s="12"/>
      <c r="D96" s="113" t="s">
        <v>402</v>
      </c>
      <c r="E96" s="113"/>
      <c r="F96" s="113"/>
      <c r="G96" s="113"/>
      <c r="H96" s="114" t="s">
        <v>403</v>
      </c>
      <c r="I96" s="114"/>
      <c r="J96" s="114"/>
      <c r="K96" s="114"/>
    </row>
    <row r="97" s="62" customFormat="true" ht="13.8" hidden="false" customHeight="false" outlineLevel="0" collapsed="false">
      <c r="A97" s="54" t="n">
        <f aca="false">A96+1</f>
        <v>95</v>
      </c>
      <c r="B97" s="55" t="str">
        <f aca="false">com.sun.star.sheet.addin.Analysis.getDec2Hex(2560+A97)</f>
        <v>A5F</v>
      </c>
      <c r="C97" s="101"/>
      <c r="D97" s="91" t="s">
        <v>404</v>
      </c>
      <c r="E97" s="115" t="s">
        <v>405</v>
      </c>
      <c r="F97" s="116" t="s">
        <v>406</v>
      </c>
      <c r="G97" s="117" t="s">
        <v>407</v>
      </c>
      <c r="H97" s="118" t="s">
        <v>408</v>
      </c>
      <c r="I97" s="119" t="s">
        <v>409</v>
      </c>
      <c r="J97" s="120" t="s">
        <v>410</v>
      </c>
      <c r="K97" s="121" t="s">
        <v>411</v>
      </c>
      <c r="AMH97" s="0"/>
      <c r="AMI97" s="0"/>
      <c r="AMJ97" s="0"/>
    </row>
    <row r="98" customFormat="false" ht="13.8" hidden="false" customHeight="false" outlineLevel="0" collapsed="false">
      <c r="A98" s="63" t="n">
        <f aca="false">A97+1</f>
        <v>96</v>
      </c>
      <c r="B98" s="64" t="str">
        <f aca="false">com.sun.star.sheet.addin.Analysis.getDec2Hex(2560+A98)</f>
        <v>A60</v>
      </c>
      <c r="C98" s="65" t="s">
        <v>412</v>
      </c>
      <c r="D98" s="104" t="str">
        <f aca="false">"Room reward "&amp;8*($A98-96)+D$1</f>
        <v>Room reward 7</v>
      </c>
      <c r="E98" s="20" t="str">
        <f aca="false">"Room reward "&amp;8*($A98-96)+E$1</f>
        <v>Room reward 6</v>
      </c>
      <c r="F98" s="20" t="str">
        <f aca="false">"Room reward "&amp;8*($A98-96)+F$1</f>
        <v>Room reward 5</v>
      </c>
      <c r="G98" s="107" t="str">
        <f aca="false">"Room reward "&amp;8*($A98-96)+G$1</f>
        <v>Room reward 4</v>
      </c>
      <c r="H98" s="106" t="str">
        <f aca="false">"Room reward "&amp;8*($A98-96)+H$1</f>
        <v>Room reward 3</v>
      </c>
      <c r="I98" s="20" t="str">
        <f aca="false">"Room reward "&amp;8*($A98-96)+I$1</f>
        <v>Room reward 2</v>
      </c>
      <c r="J98" s="20" t="str">
        <f aca="false">"Room reward "&amp;8*($A98-96)+J$1</f>
        <v>Room reward 1</v>
      </c>
      <c r="K98" s="20" t="str">
        <f aca="false">"Room reward "&amp;8*($A98-96)+K$1</f>
        <v>Room reward 0</v>
      </c>
    </row>
    <row r="99" customFormat="false" ht="13.8" hidden="false" customHeight="false" outlineLevel="0" collapsed="false">
      <c r="A99" s="10" t="n">
        <f aca="false">A98+1</f>
        <v>97</v>
      </c>
      <c r="B99" s="11" t="str">
        <f aca="false">com.sun.star.sheet.addin.Analysis.getDec2Hex(2560+A99)</f>
        <v>A61</v>
      </c>
      <c r="C99" s="12"/>
      <c r="D99" s="104" t="str">
        <f aca="false">"Room reward "&amp;8*($A99-96)+D$1</f>
        <v>Room reward 15</v>
      </c>
      <c r="E99" s="20" t="str">
        <f aca="false">"Room reward "&amp;8*($A99-96)+E$1</f>
        <v>Room reward 14</v>
      </c>
      <c r="F99" s="20" t="str">
        <f aca="false">"Room reward "&amp;8*($A99-96)+F$1</f>
        <v>Room reward 13</v>
      </c>
      <c r="G99" s="107" t="str">
        <f aca="false">"Room reward "&amp;8*($A99-96)+G$1</f>
        <v>Room reward 12</v>
      </c>
      <c r="H99" s="106" t="str">
        <f aca="false">"Room reward "&amp;8*($A99-96)+H$1</f>
        <v>Room reward 11</v>
      </c>
      <c r="I99" s="20" t="str">
        <f aca="false">"Room reward "&amp;8*($A99-96)+I$1</f>
        <v>Room reward 10</v>
      </c>
      <c r="J99" s="20" t="str">
        <f aca="false">"Room reward "&amp;8*($A99-96)+J$1</f>
        <v>Room reward 9</v>
      </c>
      <c r="K99" s="20" t="str">
        <f aca="false">"Room reward "&amp;8*($A99-96)+K$1</f>
        <v>Room reward 8</v>
      </c>
    </row>
    <row r="100" customFormat="false" ht="13.8" hidden="false" customHeight="false" outlineLevel="0" collapsed="false">
      <c r="A100" s="10" t="n">
        <f aca="false">A99+1</f>
        <v>98</v>
      </c>
      <c r="B100" s="11" t="str">
        <f aca="false">com.sun.star.sheet.addin.Analysis.getDec2Hex(2560+A100)</f>
        <v>A62</v>
      </c>
      <c r="C100" s="12"/>
      <c r="D100" s="104" t="str">
        <f aca="false">"Room reward "&amp;8*($A100-96)+D$1</f>
        <v>Room reward 23</v>
      </c>
      <c r="E100" s="20" t="str">
        <f aca="false">"Room reward "&amp;8*($A100-96)+E$1</f>
        <v>Room reward 22</v>
      </c>
      <c r="F100" s="20" t="str">
        <f aca="false">"Room reward "&amp;8*($A100-96)+F$1</f>
        <v>Room reward 21</v>
      </c>
      <c r="G100" s="107" t="str">
        <f aca="false">"Room reward "&amp;8*($A100-96)+G$1</f>
        <v>Room reward 20</v>
      </c>
      <c r="H100" s="106" t="str">
        <f aca="false">"Room reward "&amp;8*($A100-96)+H$1</f>
        <v>Room reward 19</v>
      </c>
      <c r="I100" s="20" t="str">
        <f aca="false">"Room reward "&amp;8*($A100-96)+I$1</f>
        <v>Room reward 18</v>
      </c>
      <c r="J100" s="20" t="str">
        <f aca="false">"Room reward "&amp;8*($A100-96)+J$1</f>
        <v>Room reward 17</v>
      </c>
      <c r="K100" s="20" t="str">
        <f aca="false">"Room reward "&amp;8*($A100-96)+K$1</f>
        <v>Room reward 16</v>
      </c>
    </row>
    <row r="101" customFormat="false" ht="13.8" hidden="false" customHeight="false" outlineLevel="0" collapsed="false">
      <c r="A101" s="10" t="n">
        <f aca="false">A100+1</f>
        <v>99</v>
      </c>
      <c r="B101" s="11" t="str">
        <f aca="false">com.sun.star.sheet.addin.Analysis.getDec2Hex(2560+A101)</f>
        <v>A63</v>
      </c>
      <c r="C101" s="12"/>
      <c r="D101" s="104" t="str">
        <f aca="false">"Room reward "&amp;8*($A101-96)+D$1</f>
        <v>Room reward 31</v>
      </c>
      <c r="E101" s="20" t="str">
        <f aca="false">"Room reward "&amp;8*($A101-96)+E$1</f>
        <v>Room reward 30</v>
      </c>
      <c r="F101" s="20" t="str">
        <f aca="false">"Room reward "&amp;8*($A101-96)+F$1</f>
        <v>Room reward 29</v>
      </c>
      <c r="G101" s="107" t="str">
        <f aca="false">"Room reward "&amp;8*($A101-96)+G$1</f>
        <v>Room reward 28</v>
      </c>
      <c r="H101" s="106" t="str">
        <f aca="false">"Room reward "&amp;8*($A101-96)+H$1</f>
        <v>Room reward 27</v>
      </c>
      <c r="I101" s="20" t="str">
        <f aca="false">"Room reward "&amp;8*($A101-96)+I$1</f>
        <v>Room reward 26</v>
      </c>
      <c r="J101" s="20" t="str">
        <f aca="false">"Room reward "&amp;8*($A101-96)+J$1</f>
        <v>Room reward 25</v>
      </c>
      <c r="K101" s="20" t="str">
        <f aca="false">"Room reward "&amp;8*($A101-96)+K$1</f>
        <v>Room reward 24</v>
      </c>
    </row>
    <row r="102" customFormat="false" ht="13.8" hidden="false" customHeight="false" outlineLevel="0" collapsed="false">
      <c r="A102" s="10" t="n">
        <f aca="false">A101+1</f>
        <v>100</v>
      </c>
      <c r="B102" s="11" t="str">
        <f aca="false">com.sun.star.sheet.addin.Analysis.getDec2Hex(2560+A102)</f>
        <v>A64</v>
      </c>
      <c r="C102" s="12"/>
      <c r="D102" s="104" t="str">
        <f aca="false">"Room reward "&amp;8*($A102-96)+D$1</f>
        <v>Room reward 39</v>
      </c>
      <c r="E102" s="20" t="str">
        <f aca="false">"Room reward "&amp;8*($A102-96)+E$1</f>
        <v>Room reward 38</v>
      </c>
      <c r="F102" s="20" t="str">
        <f aca="false">"Room reward "&amp;8*($A102-96)+F$1</f>
        <v>Room reward 37</v>
      </c>
      <c r="G102" s="107" t="str">
        <f aca="false">"Room reward "&amp;8*($A102-96)+G$1</f>
        <v>Room reward 36</v>
      </c>
      <c r="H102" s="106" t="str">
        <f aca="false">"Room reward "&amp;8*($A102-96)+H$1</f>
        <v>Room reward 35</v>
      </c>
      <c r="I102" s="20" t="str">
        <f aca="false">"Room reward "&amp;8*($A102-96)+I$1</f>
        <v>Room reward 34</v>
      </c>
      <c r="J102" s="20" t="str">
        <f aca="false">"Room reward "&amp;8*($A102-96)+J$1</f>
        <v>Room reward 33</v>
      </c>
      <c r="K102" s="20" t="str">
        <f aca="false">"Room reward "&amp;8*($A102-96)+K$1</f>
        <v>Room reward 32</v>
      </c>
    </row>
    <row r="103" customFormat="false" ht="13.8" hidden="false" customHeight="false" outlineLevel="0" collapsed="false">
      <c r="A103" s="10" t="n">
        <f aca="false">A102+1</f>
        <v>101</v>
      </c>
      <c r="B103" s="11" t="str">
        <f aca="false">com.sun.star.sheet.addin.Analysis.getDec2Hex(2560+A103)</f>
        <v>A65</v>
      </c>
      <c r="C103" s="12"/>
      <c r="D103" s="104" t="str">
        <f aca="false">"Room reward "&amp;8*($A103-96)+D$1</f>
        <v>Room reward 47</v>
      </c>
      <c r="E103" s="20" t="str">
        <f aca="false">"Room reward "&amp;8*($A103-96)+E$1</f>
        <v>Room reward 46</v>
      </c>
      <c r="F103" s="20" t="str">
        <f aca="false">"Room reward "&amp;8*($A103-96)+F$1</f>
        <v>Room reward 45</v>
      </c>
      <c r="G103" s="107" t="str">
        <f aca="false">"Room reward "&amp;8*($A103-96)+G$1</f>
        <v>Room reward 44</v>
      </c>
      <c r="H103" s="106" t="str">
        <f aca="false">"Room reward "&amp;8*($A103-96)+H$1</f>
        <v>Room reward 43</v>
      </c>
      <c r="I103" s="20" t="str">
        <f aca="false">"Room reward "&amp;8*($A103-96)+I$1</f>
        <v>Room reward 42</v>
      </c>
      <c r="J103" s="20" t="str">
        <f aca="false">"Room reward "&amp;8*($A103-96)+J$1</f>
        <v>Room reward 41</v>
      </c>
      <c r="K103" s="20" t="str">
        <f aca="false">"Room reward "&amp;8*($A103-96)+K$1</f>
        <v>Room reward 40</v>
      </c>
    </row>
    <row r="104" customFormat="false" ht="13.8" hidden="false" customHeight="false" outlineLevel="0" collapsed="false">
      <c r="A104" s="10" t="n">
        <f aca="false">A103+1</f>
        <v>102</v>
      </c>
      <c r="B104" s="11" t="str">
        <f aca="false">com.sun.star.sheet.addin.Analysis.getDec2Hex(2560+A104)</f>
        <v>A66</v>
      </c>
      <c r="C104" s="12"/>
      <c r="D104" s="104" t="str">
        <f aca="false">"Room reward "&amp;8*($A104-96)+D$1</f>
        <v>Room reward 55</v>
      </c>
      <c r="E104" s="20" t="str">
        <f aca="false">"Room reward "&amp;8*($A104-96)+E$1</f>
        <v>Room reward 54</v>
      </c>
      <c r="F104" s="20" t="str">
        <f aca="false">"Room reward "&amp;8*($A104-96)+F$1</f>
        <v>Room reward 53</v>
      </c>
      <c r="G104" s="107" t="str">
        <f aca="false">"Room reward "&amp;8*($A104-96)+G$1</f>
        <v>Room reward 52</v>
      </c>
      <c r="H104" s="106" t="str">
        <f aca="false">"Room reward "&amp;8*($A104-96)+H$1</f>
        <v>Room reward 51</v>
      </c>
      <c r="I104" s="20" t="str">
        <f aca="false">"Room reward "&amp;8*($A104-96)+I$1</f>
        <v>Room reward 50</v>
      </c>
      <c r="J104" s="20" t="str">
        <f aca="false">"Room reward "&amp;8*($A104-96)+J$1</f>
        <v>Room reward 49</v>
      </c>
      <c r="K104" s="20" t="str">
        <f aca="false">"Room reward "&amp;8*($A104-96)+K$1</f>
        <v>Room reward 48</v>
      </c>
    </row>
    <row r="105" customFormat="false" ht="13.8" hidden="false" customHeight="false" outlineLevel="0" collapsed="false">
      <c r="A105" s="10" t="n">
        <f aca="false">A104+1</f>
        <v>103</v>
      </c>
      <c r="B105" s="11" t="str">
        <f aca="false">com.sun.star.sheet.addin.Analysis.getDec2Hex(2560+A105)</f>
        <v>A67</v>
      </c>
      <c r="C105" s="12"/>
      <c r="D105" s="104" t="str">
        <f aca="false">"Room reward "&amp;8*($A105-96)+D$1</f>
        <v>Room reward 63</v>
      </c>
      <c r="E105" s="20" t="str">
        <f aca="false">"Room reward "&amp;8*($A105-96)+E$1</f>
        <v>Room reward 62</v>
      </c>
      <c r="F105" s="20" t="str">
        <f aca="false">"Room reward "&amp;8*($A105-96)+F$1</f>
        <v>Room reward 61</v>
      </c>
      <c r="G105" s="107" t="str">
        <f aca="false">"Room reward "&amp;8*($A105-96)+G$1</f>
        <v>Room reward 60</v>
      </c>
      <c r="H105" s="106" t="str">
        <f aca="false">"Room reward "&amp;8*($A105-96)+H$1</f>
        <v>Room reward 59</v>
      </c>
      <c r="I105" s="20" t="str">
        <f aca="false">"Room reward "&amp;8*($A105-96)+I$1</f>
        <v>Room reward 58</v>
      </c>
      <c r="J105" s="20" t="str">
        <f aca="false">"Room reward "&amp;8*($A105-96)+J$1</f>
        <v>Room reward 57</v>
      </c>
      <c r="K105" s="20" t="str">
        <f aca="false">"Room reward "&amp;8*($A105-96)+K$1</f>
        <v>Room reward 56</v>
      </c>
    </row>
    <row r="106" customFormat="false" ht="13.8" hidden="false" customHeight="false" outlineLevel="0" collapsed="false">
      <c r="A106" s="10" t="n">
        <f aca="false">A105+1</f>
        <v>104</v>
      </c>
      <c r="B106" s="11" t="str">
        <f aca="false">com.sun.star.sheet.addin.Analysis.getDec2Hex(2560+A106)</f>
        <v>A68</v>
      </c>
      <c r="C106" s="12"/>
      <c r="D106" s="104" t="str">
        <f aca="false">"Room reward "&amp;8*($A106-96)+D$1</f>
        <v>Room reward 71</v>
      </c>
      <c r="E106" s="20" t="str">
        <f aca="false">"Room reward "&amp;8*($A106-96)+E$1</f>
        <v>Room reward 70</v>
      </c>
      <c r="F106" s="20" t="str">
        <f aca="false">"Room reward "&amp;8*($A106-96)+F$1</f>
        <v>Room reward 69</v>
      </c>
      <c r="G106" s="107" t="str">
        <f aca="false">"Room reward "&amp;8*($A106-96)+G$1</f>
        <v>Room reward 68</v>
      </c>
      <c r="H106" s="106" t="str">
        <f aca="false">"Room reward "&amp;8*($A106-96)+H$1</f>
        <v>Room reward 67</v>
      </c>
      <c r="I106" s="20" t="str">
        <f aca="false">"Room reward "&amp;8*($A106-96)+I$1</f>
        <v>Room reward 66</v>
      </c>
      <c r="J106" s="20" t="str">
        <f aca="false">"Room reward "&amp;8*($A106-96)+J$1</f>
        <v>Room reward 65</v>
      </c>
      <c r="K106" s="20" t="str">
        <f aca="false">"Room reward "&amp;8*($A106-96)+K$1</f>
        <v>Room reward 64</v>
      </c>
    </row>
    <row r="107" customFormat="false" ht="13.8" hidden="false" customHeight="false" outlineLevel="0" collapsed="false">
      <c r="A107" s="10" t="n">
        <f aca="false">A106+1</f>
        <v>105</v>
      </c>
      <c r="B107" s="11" t="str">
        <f aca="false">com.sun.star.sheet.addin.Analysis.getDec2Hex(2560+A107)</f>
        <v>A69</v>
      </c>
      <c r="C107" s="12"/>
      <c r="D107" s="104" t="str">
        <f aca="false">"Room reward "&amp;8*($A107-96)+D$1</f>
        <v>Room reward 79</v>
      </c>
      <c r="E107" s="20" t="str">
        <f aca="false">"Room reward "&amp;8*($A107-96)+E$1</f>
        <v>Room reward 78</v>
      </c>
      <c r="F107" s="20" t="str">
        <f aca="false">"Room reward "&amp;8*($A107-96)+F$1</f>
        <v>Room reward 77</v>
      </c>
      <c r="G107" s="107" t="str">
        <f aca="false">"Room reward "&amp;8*($A107-96)+G$1</f>
        <v>Room reward 76</v>
      </c>
      <c r="H107" s="106" t="str">
        <f aca="false">"Room reward "&amp;8*($A107-96)+H$1</f>
        <v>Room reward 75</v>
      </c>
      <c r="I107" s="20" t="str">
        <f aca="false">"Room reward "&amp;8*($A107-96)+I$1</f>
        <v>Room reward 74</v>
      </c>
      <c r="J107" s="20" t="str">
        <f aca="false">"Room reward "&amp;8*($A107-96)+J$1</f>
        <v>Room reward 73</v>
      </c>
      <c r="K107" s="20" t="str">
        <f aca="false">"Room reward "&amp;8*($A107-96)+K$1</f>
        <v>Room reward 72</v>
      </c>
    </row>
    <row r="108" customFormat="false" ht="13.8" hidden="false" customHeight="false" outlineLevel="0" collapsed="false">
      <c r="A108" s="10" t="n">
        <f aca="false">A107+1</f>
        <v>106</v>
      </c>
      <c r="B108" s="11" t="str">
        <f aca="false">com.sun.star.sheet.addin.Analysis.getDec2Hex(2560+A108)</f>
        <v>A6A</v>
      </c>
      <c r="C108" s="12"/>
      <c r="D108" s="104" t="str">
        <f aca="false">"Room reward "&amp;8*($A108-96)+D$1</f>
        <v>Room reward 87</v>
      </c>
      <c r="E108" s="20" t="str">
        <f aca="false">"Room reward "&amp;8*($A108-96)+E$1</f>
        <v>Room reward 86</v>
      </c>
      <c r="F108" s="20" t="str">
        <f aca="false">"Room reward "&amp;8*($A108-96)+F$1</f>
        <v>Room reward 85</v>
      </c>
      <c r="G108" s="107" t="str">
        <f aca="false">"Room reward "&amp;8*($A108-96)+G$1</f>
        <v>Room reward 84</v>
      </c>
      <c r="H108" s="106" t="str">
        <f aca="false">"Room reward "&amp;8*($A108-96)+H$1</f>
        <v>Room reward 83</v>
      </c>
      <c r="I108" s="20" t="str">
        <f aca="false">"Room reward "&amp;8*($A108-96)+I$1</f>
        <v>Room reward 82</v>
      </c>
      <c r="J108" s="20" t="str">
        <f aca="false">"Room reward "&amp;8*($A108-96)+J$1</f>
        <v>Room reward 81</v>
      </c>
      <c r="K108" s="20" t="str">
        <f aca="false">"Room reward "&amp;8*($A108-96)+K$1</f>
        <v>Room reward 80</v>
      </c>
    </row>
    <row r="109" customFormat="false" ht="13.8" hidden="false" customHeight="false" outlineLevel="0" collapsed="false">
      <c r="A109" s="10" t="n">
        <f aca="false">A108+1</f>
        <v>107</v>
      </c>
      <c r="B109" s="11" t="str">
        <f aca="false">com.sun.star.sheet.addin.Analysis.getDec2Hex(2560+A109)</f>
        <v>A6B</v>
      </c>
      <c r="C109" s="12"/>
      <c r="D109" s="104" t="str">
        <f aca="false">"Room reward "&amp;8*($A109-96)+D$1</f>
        <v>Room reward 95</v>
      </c>
      <c r="E109" s="20" t="str">
        <f aca="false">"Room reward "&amp;8*($A109-96)+E$1</f>
        <v>Room reward 94</v>
      </c>
      <c r="F109" s="20" t="str">
        <f aca="false">"Room reward "&amp;8*($A109-96)+F$1</f>
        <v>Room reward 93</v>
      </c>
      <c r="G109" s="107" t="str">
        <f aca="false">"Room reward "&amp;8*($A109-96)+G$1</f>
        <v>Room reward 92</v>
      </c>
      <c r="H109" s="106" t="str">
        <f aca="false">"Room reward "&amp;8*($A109-96)+H$1</f>
        <v>Room reward 91</v>
      </c>
      <c r="I109" s="20" t="str">
        <f aca="false">"Room reward "&amp;8*($A109-96)+I$1</f>
        <v>Room reward 90</v>
      </c>
      <c r="J109" s="20" t="str">
        <f aca="false">"Room reward "&amp;8*($A109-96)+J$1</f>
        <v>Room reward 89</v>
      </c>
      <c r="K109" s="20" t="str">
        <f aca="false">"Room reward "&amp;8*($A109-96)+K$1</f>
        <v>Room reward 88</v>
      </c>
    </row>
    <row r="110" customFormat="false" ht="13.8" hidden="false" customHeight="false" outlineLevel="0" collapsed="false">
      <c r="A110" s="10" t="n">
        <f aca="false">A109+1</f>
        <v>108</v>
      </c>
      <c r="B110" s="11" t="str">
        <f aca="false">com.sun.star.sheet.addin.Analysis.getDec2Hex(2560+A110)</f>
        <v>A6C</v>
      </c>
      <c r="C110" s="12"/>
      <c r="D110" s="104" t="str">
        <f aca="false">"Room reward "&amp;8*($A110-96)+D$1</f>
        <v>Room reward 103</v>
      </c>
      <c r="E110" s="20" t="str">
        <f aca="false">"Room reward "&amp;8*($A110-96)+E$1</f>
        <v>Room reward 102</v>
      </c>
      <c r="F110" s="20" t="str">
        <f aca="false">"Room reward "&amp;8*($A110-96)+F$1</f>
        <v>Room reward 101</v>
      </c>
      <c r="G110" s="107" t="str">
        <f aca="false">"Room reward "&amp;8*($A110-96)+G$1</f>
        <v>Room reward 100</v>
      </c>
      <c r="H110" s="106" t="str">
        <f aca="false">"Room reward "&amp;8*($A110-96)+H$1</f>
        <v>Room reward 99</v>
      </c>
      <c r="I110" s="20" t="str">
        <f aca="false">"Room reward "&amp;8*($A110-96)+I$1</f>
        <v>Room reward 98</v>
      </c>
      <c r="J110" s="20" t="str">
        <f aca="false">"Room reward "&amp;8*($A110-96)+J$1</f>
        <v>Room reward 97</v>
      </c>
      <c r="K110" s="20" t="str">
        <f aca="false">"Room reward "&amp;8*($A110-96)+K$1</f>
        <v>Room reward 96</v>
      </c>
    </row>
    <row r="111" customFormat="false" ht="13.8" hidden="false" customHeight="false" outlineLevel="0" collapsed="false">
      <c r="A111" s="10" t="n">
        <f aca="false">A110+1</f>
        <v>109</v>
      </c>
      <c r="B111" s="11" t="str">
        <f aca="false">com.sun.star.sheet.addin.Analysis.getDec2Hex(2560+A111)</f>
        <v>A6D</v>
      </c>
      <c r="C111" s="12"/>
      <c r="D111" s="104" t="str">
        <f aca="false">"Room reward "&amp;8*($A111-96)+D$1</f>
        <v>Room reward 111</v>
      </c>
      <c r="E111" s="20" t="str">
        <f aca="false">"Room reward "&amp;8*($A111-96)+E$1</f>
        <v>Room reward 110</v>
      </c>
      <c r="F111" s="20" t="str">
        <f aca="false">"Room reward "&amp;8*($A111-96)+F$1</f>
        <v>Room reward 109</v>
      </c>
      <c r="G111" s="107" t="str">
        <f aca="false">"Room reward "&amp;8*($A111-96)+G$1</f>
        <v>Room reward 108</v>
      </c>
      <c r="H111" s="106" t="str">
        <f aca="false">"Room reward "&amp;8*($A111-96)+H$1</f>
        <v>Room reward 107</v>
      </c>
      <c r="I111" s="20" t="str">
        <f aca="false">"Room reward "&amp;8*($A111-96)+I$1</f>
        <v>Room reward 106</v>
      </c>
      <c r="J111" s="20" t="str">
        <f aca="false">"Room reward "&amp;8*($A111-96)+J$1</f>
        <v>Room reward 105</v>
      </c>
      <c r="K111" s="20" t="str">
        <f aca="false">"Room reward "&amp;8*($A111-96)+K$1</f>
        <v>Room reward 104</v>
      </c>
    </row>
    <row r="112" customFormat="false" ht="13.8" hidden="false" customHeight="false" outlineLevel="0" collapsed="false">
      <c r="A112" s="10" t="n">
        <f aca="false">A111+1</f>
        <v>110</v>
      </c>
      <c r="B112" s="11" t="str">
        <f aca="false">com.sun.star.sheet.addin.Analysis.getDec2Hex(2560+A112)</f>
        <v>A6E</v>
      </c>
      <c r="C112" s="12"/>
      <c r="D112" s="104" t="str">
        <f aca="false">"Room reward "&amp;8*($A112-96)+D$1</f>
        <v>Room reward 119</v>
      </c>
      <c r="E112" s="20" t="str">
        <f aca="false">"Room reward "&amp;8*($A112-96)+E$1</f>
        <v>Room reward 118</v>
      </c>
      <c r="F112" s="20" t="str">
        <f aca="false">"Room reward "&amp;8*($A112-96)+F$1</f>
        <v>Room reward 117</v>
      </c>
      <c r="G112" s="107" t="str">
        <f aca="false">"Room reward "&amp;8*($A112-96)+G$1</f>
        <v>Room reward 116</v>
      </c>
      <c r="H112" s="106" t="str">
        <f aca="false">"Room reward "&amp;8*($A112-96)+H$1</f>
        <v>Room reward 115</v>
      </c>
      <c r="I112" s="20" t="str">
        <f aca="false">"Room reward "&amp;8*($A112-96)+I$1</f>
        <v>Room reward 114</v>
      </c>
      <c r="J112" s="20" t="str">
        <f aca="false">"Room reward "&amp;8*($A112-96)+J$1</f>
        <v>Room reward 113</v>
      </c>
      <c r="K112" s="20" t="str">
        <f aca="false">"Room reward "&amp;8*($A112-96)+K$1</f>
        <v>Room reward 112</v>
      </c>
    </row>
    <row r="113" s="62" customFormat="true" ht="13.8" hidden="false" customHeight="false" outlineLevel="0" collapsed="false">
      <c r="A113" s="54" t="n">
        <f aca="false">A112+1</f>
        <v>111</v>
      </c>
      <c r="B113" s="55" t="str">
        <f aca="false">com.sun.star.sheet.addin.Analysis.getDec2Hex(2560+A113)</f>
        <v>A6F</v>
      </c>
      <c r="C113" s="101"/>
      <c r="D113" s="122" t="str">
        <f aca="false">"Room reward "&amp;8*($A113-96)+D$1</f>
        <v>Room reward 127</v>
      </c>
      <c r="E113" s="123" t="str">
        <f aca="false">"Room reward "&amp;8*($A113-96)+E$1</f>
        <v>Room reward 126</v>
      </c>
      <c r="F113" s="123" t="str">
        <f aca="false">"Room reward "&amp;8*($A113-96)+F$1</f>
        <v>Room reward 125</v>
      </c>
      <c r="G113" s="124" t="str">
        <f aca="false">"Room reward "&amp;8*($A113-96)+G$1</f>
        <v>Room reward 124</v>
      </c>
      <c r="H113" s="125" t="str">
        <f aca="false">"Room reward "&amp;8*($A113-96)+H$1</f>
        <v>Room reward 123</v>
      </c>
      <c r="I113" s="123" t="str">
        <f aca="false">"Room reward "&amp;8*($A113-96)+I$1</f>
        <v>Room reward 122</v>
      </c>
      <c r="J113" s="123" t="str">
        <f aca="false">"Room reward "&amp;8*($A113-96)+J$1</f>
        <v>Room reward 121</v>
      </c>
      <c r="K113" s="123" t="str">
        <f aca="false">"Room reward "&amp;8*($A113-96)+K$1</f>
        <v>Room reward 120</v>
      </c>
      <c r="AMH113" s="0"/>
      <c r="AMI113" s="0"/>
      <c r="AMJ113" s="0"/>
    </row>
    <row r="114" customFormat="false" ht="13.8" hidden="false" customHeight="false" outlineLevel="0" collapsed="false">
      <c r="A114" s="63" t="n">
        <f aca="false">A113+1</f>
        <v>112</v>
      </c>
      <c r="B114" s="64" t="str">
        <f aca="false">com.sun.star.sheet.addin.Analysis.getDec2Hex(2560+A114)</f>
        <v>A70</v>
      </c>
      <c r="C114" s="65"/>
      <c r="D114" s="104" t="str">
        <f aca="false">"Room reward "&amp;8*($A114-96)+D$1</f>
        <v>Room reward 135</v>
      </c>
      <c r="E114" s="20" t="str">
        <f aca="false">"Room reward "&amp;8*($A114-96)+E$1</f>
        <v>Room reward 134</v>
      </c>
      <c r="F114" s="20" t="str">
        <f aca="false">"Room reward "&amp;8*($A114-96)+F$1</f>
        <v>Room reward 133</v>
      </c>
      <c r="G114" s="107" t="str">
        <f aca="false">"Room reward "&amp;8*($A114-96)+G$1</f>
        <v>Room reward 132</v>
      </c>
      <c r="H114" s="106" t="str">
        <f aca="false">"Room reward "&amp;8*($A114-96)+H$1</f>
        <v>Room reward 131</v>
      </c>
      <c r="I114" s="20" t="str">
        <f aca="false">"Room reward "&amp;8*($A114-96)+I$1</f>
        <v>Room reward 130</v>
      </c>
      <c r="J114" s="20" t="str">
        <f aca="false">"Room reward "&amp;8*($A114-96)+J$1</f>
        <v>Room reward 129</v>
      </c>
      <c r="K114" s="20" t="str">
        <f aca="false">"Room reward "&amp;8*($A114-96)+K$1</f>
        <v>Room reward 128</v>
      </c>
    </row>
    <row r="115" customFormat="false" ht="13.8" hidden="false" customHeight="false" outlineLevel="0" collapsed="false">
      <c r="A115" s="10" t="n">
        <f aca="false">A114+1</f>
        <v>113</v>
      </c>
      <c r="B115" s="11" t="str">
        <f aca="false">com.sun.star.sheet.addin.Analysis.getDec2Hex(2560+A115)</f>
        <v>A71</v>
      </c>
      <c r="C115" s="12"/>
      <c r="D115" s="104" t="str">
        <f aca="false">"Room reward "&amp;8*($A115-96)+D$1</f>
        <v>Room reward 143</v>
      </c>
      <c r="E115" s="20" t="str">
        <f aca="false">"Room reward "&amp;8*($A115-96)+E$1</f>
        <v>Room reward 142</v>
      </c>
      <c r="F115" s="20" t="str">
        <f aca="false">"Room reward "&amp;8*($A115-96)+F$1</f>
        <v>Room reward 141</v>
      </c>
      <c r="G115" s="107" t="str">
        <f aca="false">"Room reward "&amp;8*($A115-96)+G$1</f>
        <v>Room reward 140</v>
      </c>
      <c r="H115" s="106" t="str">
        <f aca="false">"Room reward "&amp;8*($A115-96)+H$1</f>
        <v>Room reward 139</v>
      </c>
      <c r="I115" s="20" t="str">
        <f aca="false">"Room reward "&amp;8*($A115-96)+I$1</f>
        <v>Room reward 138</v>
      </c>
      <c r="J115" s="20" t="str">
        <f aca="false">"Room reward "&amp;8*($A115-96)+J$1</f>
        <v>Room reward 137</v>
      </c>
      <c r="K115" s="20" t="str">
        <f aca="false">"Room reward "&amp;8*($A115-96)+K$1</f>
        <v>Room reward 136</v>
      </c>
    </row>
    <row r="116" customFormat="false" ht="13.8" hidden="false" customHeight="false" outlineLevel="0" collapsed="false">
      <c r="A116" s="10" t="n">
        <f aca="false">A115+1</f>
        <v>114</v>
      </c>
      <c r="B116" s="11" t="str">
        <f aca="false">com.sun.star.sheet.addin.Analysis.getDec2Hex(2560+A116)</f>
        <v>A72</v>
      </c>
      <c r="C116" s="12"/>
      <c r="D116" s="104" t="str">
        <f aca="false">"Room reward "&amp;8*($A116-96)+D$1</f>
        <v>Room reward 151</v>
      </c>
      <c r="E116" s="20" t="str">
        <f aca="false">"Room reward "&amp;8*($A116-96)+E$1</f>
        <v>Room reward 150</v>
      </c>
      <c r="F116" s="20" t="str">
        <f aca="false">"Room reward "&amp;8*($A116-96)+F$1</f>
        <v>Room reward 149</v>
      </c>
      <c r="G116" s="107" t="str">
        <f aca="false">"Room reward "&amp;8*($A116-96)+G$1</f>
        <v>Room reward 148</v>
      </c>
      <c r="H116" s="106" t="str">
        <f aca="false">"Room reward "&amp;8*($A116-96)+H$1</f>
        <v>Room reward 147</v>
      </c>
      <c r="I116" s="20" t="str">
        <f aca="false">"Room reward "&amp;8*($A116-96)+I$1</f>
        <v>Room reward 146</v>
      </c>
      <c r="J116" s="20" t="str">
        <f aca="false">"Room reward "&amp;8*($A116-96)+J$1</f>
        <v>Room reward 145</v>
      </c>
      <c r="K116" s="20" t="str">
        <f aca="false">"Room reward "&amp;8*($A116-96)+K$1</f>
        <v>Room reward 144</v>
      </c>
    </row>
    <row r="117" customFormat="false" ht="13.8" hidden="false" customHeight="false" outlineLevel="0" collapsed="false">
      <c r="A117" s="10" t="n">
        <f aca="false">A116+1</f>
        <v>115</v>
      </c>
      <c r="B117" s="11" t="str">
        <f aca="false">com.sun.star.sheet.addin.Analysis.getDec2Hex(2560+A117)</f>
        <v>A73</v>
      </c>
      <c r="C117" s="12"/>
      <c r="D117" s="104" t="str">
        <f aca="false">"Room reward "&amp;8*($A117-96)+D$1</f>
        <v>Room reward 159</v>
      </c>
      <c r="E117" s="20" t="str">
        <f aca="false">"Room reward "&amp;8*($A117-96)+E$1</f>
        <v>Room reward 158</v>
      </c>
      <c r="F117" s="20" t="str">
        <f aca="false">"Room reward "&amp;8*($A117-96)+F$1</f>
        <v>Room reward 157</v>
      </c>
      <c r="G117" s="107" t="str">
        <f aca="false">"Room reward "&amp;8*($A117-96)+G$1</f>
        <v>Room reward 156</v>
      </c>
      <c r="H117" s="106" t="str">
        <f aca="false">"Room reward "&amp;8*($A117-96)+H$1</f>
        <v>Room reward 155</v>
      </c>
      <c r="I117" s="20" t="str">
        <f aca="false">"Room reward "&amp;8*($A117-96)+I$1</f>
        <v>Room reward 154</v>
      </c>
      <c r="J117" s="20" t="str">
        <f aca="false">"Room reward "&amp;8*($A117-96)+J$1</f>
        <v>Room reward 153</v>
      </c>
      <c r="K117" s="20" t="str">
        <f aca="false">"Room reward "&amp;8*($A117-96)+K$1</f>
        <v>Room reward 152</v>
      </c>
    </row>
    <row r="118" customFormat="false" ht="13.8" hidden="false" customHeight="false" outlineLevel="0" collapsed="false">
      <c r="A118" s="10" t="n">
        <f aca="false">A117+1</f>
        <v>116</v>
      </c>
      <c r="B118" s="11" t="str">
        <f aca="false">com.sun.star.sheet.addin.Analysis.getDec2Hex(2560+A118)</f>
        <v>A74</v>
      </c>
      <c r="C118" s="12"/>
      <c r="D118" s="104" t="str">
        <f aca="false">"Room reward "&amp;8*($A118-96)+D$1</f>
        <v>Room reward 167</v>
      </c>
      <c r="E118" s="20" t="str">
        <f aca="false">"Room reward "&amp;8*($A118-96)+E$1</f>
        <v>Room reward 166</v>
      </c>
      <c r="F118" s="20" t="str">
        <f aca="false">"Room reward "&amp;8*($A118-96)+F$1</f>
        <v>Room reward 165</v>
      </c>
      <c r="G118" s="107" t="str">
        <f aca="false">"Room reward "&amp;8*($A118-96)+G$1</f>
        <v>Room reward 164</v>
      </c>
      <c r="H118" s="106" t="str">
        <f aca="false">"Room reward "&amp;8*($A118-96)+H$1</f>
        <v>Room reward 163</v>
      </c>
      <c r="I118" s="20" t="str">
        <f aca="false">"Room reward "&amp;8*($A118-96)+I$1</f>
        <v>Room reward 162</v>
      </c>
      <c r="J118" s="20" t="str">
        <f aca="false">"Room reward "&amp;8*($A118-96)+J$1</f>
        <v>Room reward 161</v>
      </c>
      <c r="K118" s="20" t="str">
        <f aca="false">"Room reward "&amp;8*($A118-96)+K$1</f>
        <v>Room reward 160</v>
      </c>
    </row>
    <row r="119" customFormat="false" ht="13.8" hidden="false" customHeight="false" outlineLevel="0" collapsed="false">
      <c r="A119" s="10" t="n">
        <f aca="false">A118+1</f>
        <v>117</v>
      </c>
      <c r="B119" s="11" t="str">
        <f aca="false">com.sun.star.sheet.addin.Analysis.getDec2Hex(2560+A119)</f>
        <v>A75</v>
      </c>
      <c r="C119" s="12"/>
      <c r="D119" s="104" t="str">
        <f aca="false">"Room reward "&amp;8*($A119-96)+D$1</f>
        <v>Room reward 175</v>
      </c>
      <c r="E119" s="20" t="str">
        <f aca="false">"Room reward "&amp;8*($A119-96)+E$1</f>
        <v>Room reward 174</v>
      </c>
      <c r="F119" s="20" t="str">
        <f aca="false">"Room reward "&amp;8*($A119-96)+F$1</f>
        <v>Room reward 173</v>
      </c>
      <c r="G119" s="107" t="str">
        <f aca="false">"Room reward "&amp;8*($A119-96)+G$1</f>
        <v>Room reward 172</v>
      </c>
      <c r="H119" s="106" t="str">
        <f aca="false">"Room reward "&amp;8*($A119-96)+H$1</f>
        <v>Room reward 171</v>
      </c>
      <c r="I119" s="20" t="str">
        <f aca="false">"Room reward "&amp;8*($A119-96)+I$1</f>
        <v>Room reward 170</v>
      </c>
      <c r="J119" s="20" t="str">
        <f aca="false">"Room reward "&amp;8*($A119-96)+J$1</f>
        <v>Room reward 169</v>
      </c>
      <c r="K119" s="20" t="str">
        <f aca="false">"Room reward "&amp;8*($A119-96)+K$1</f>
        <v>Room reward 168</v>
      </c>
    </row>
    <row r="120" customFormat="false" ht="13.8" hidden="false" customHeight="false" outlineLevel="0" collapsed="false">
      <c r="A120" s="10" t="n">
        <f aca="false">A119+1</f>
        <v>118</v>
      </c>
      <c r="B120" s="11" t="str">
        <f aca="false">com.sun.star.sheet.addin.Analysis.getDec2Hex(2560+A120)</f>
        <v>A76</v>
      </c>
      <c r="C120" s="12"/>
      <c r="D120" s="104" t="str">
        <f aca="false">"Room reward "&amp;8*($A120-96)+D$1</f>
        <v>Room reward 183</v>
      </c>
      <c r="E120" s="20" t="str">
        <f aca="false">"Room reward "&amp;8*($A120-96)+E$1</f>
        <v>Room reward 182</v>
      </c>
      <c r="F120" s="20" t="str">
        <f aca="false">"Room reward "&amp;8*($A120-96)+F$1</f>
        <v>Room reward 181</v>
      </c>
      <c r="G120" s="107" t="str">
        <f aca="false">"Room reward "&amp;8*($A120-96)+G$1</f>
        <v>Room reward 180</v>
      </c>
      <c r="H120" s="106" t="str">
        <f aca="false">"Room reward "&amp;8*($A120-96)+H$1</f>
        <v>Room reward 179</v>
      </c>
      <c r="I120" s="20" t="str">
        <f aca="false">"Room reward "&amp;8*($A120-96)+I$1</f>
        <v>Room reward 178</v>
      </c>
      <c r="J120" s="20" t="str">
        <f aca="false">"Room reward "&amp;8*($A120-96)+J$1</f>
        <v>Room reward 177</v>
      </c>
      <c r="K120" s="20" t="str">
        <f aca="false">"Room reward "&amp;8*($A120-96)+K$1</f>
        <v>Room reward 176</v>
      </c>
    </row>
    <row r="121" customFormat="false" ht="13.8" hidden="false" customHeight="false" outlineLevel="0" collapsed="false">
      <c r="A121" s="10" t="n">
        <f aca="false">A120+1</f>
        <v>119</v>
      </c>
      <c r="B121" s="11" t="str">
        <f aca="false">com.sun.star.sheet.addin.Analysis.getDec2Hex(2560+A121)</f>
        <v>A77</v>
      </c>
      <c r="C121" s="12"/>
      <c r="D121" s="104" t="str">
        <f aca="false">"Room reward "&amp;8*($A121-96)+D$1</f>
        <v>Room reward 191</v>
      </c>
      <c r="E121" s="20" t="str">
        <f aca="false">"Room reward "&amp;8*($A121-96)+E$1</f>
        <v>Room reward 190</v>
      </c>
      <c r="F121" s="20" t="str">
        <f aca="false">"Room reward "&amp;8*($A121-96)+F$1</f>
        <v>Room reward 189</v>
      </c>
      <c r="G121" s="107" t="str">
        <f aca="false">"Room reward "&amp;8*($A121-96)+G$1</f>
        <v>Room reward 188</v>
      </c>
      <c r="H121" s="106" t="str">
        <f aca="false">"Room reward "&amp;8*($A121-96)+H$1</f>
        <v>Room reward 187</v>
      </c>
      <c r="I121" s="20" t="str">
        <f aca="false">"Room reward "&amp;8*($A121-96)+I$1</f>
        <v>Room reward 186</v>
      </c>
      <c r="J121" s="20" t="str">
        <f aca="false">"Room reward "&amp;8*($A121-96)+J$1</f>
        <v>Room reward 185</v>
      </c>
      <c r="K121" s="20" t="str">
        <f aca="false">"Room reward "&amp;8*($A121-96)+K$1</f>
        <v>Room reward 184</v>
      </c>
    </row>
    <row r="122" customFormat="false" ht="13.8" hidden="false" customHeight="false" outlineLevel="0" collapsed="false">
      <c r="A122" s="10" t="n">
        <f aca="false">A121+1</f>
        <v>120</v>
      </c>
      <c r="B122" s="11" t="str">
        <f aca="false">com.sun.star.sheet.addin.Analysis.getDec2Hex(2560+A122)</f>
        <v>A78</v>
      </c>
      <c r="C122" s="12"/>
      <c r="D122" s="104" t="str">
        <f aca="false">"Room reward "&amp;8*($A122-96)+D$1</f>
        <v>Room reward 199</v>
      </c>
      <c r="E122" s="20" t="str">
        <f aca="false">"Room reward "&amp;8*($A122-96)+E$1</f>
        <v>Room reward 198</v>
      </c>
      <c r="F122" s="20" t="str">
        <f aca="false">"Room reward "&amp;8*($A122-96)+F$1</f>
        <v>Room reward 197</v>
      </c>
      <c r="G122" s="107" t="str">
        <f aca="false">"Room reward "&amp;8*($A122-96)+G$1</f>
        <v>Room reward 196</v>
      </c>
      <c r="H122" s="106" t="str">
        <f aca="false">"Room reward "&amp;8*($A122-96)+H$1</f>
        <v>Room reward 195</v>
      </c>
      <c r="I122" s="20" t="str">
        <f aca="false">"Room reward "&amp;8*($A122-96)+I$1</f>
        <v>Room reward 194</v>
      </c>
      <c r="J122" s="20" t="str">
        <f aca="false">"Room reward "&amp;8*($A122-96)+J$1</f>
        <v>Room reward 193</v>
      </c>
      <c r="K122" s="20" t="str">
        <f aca="false">"Room reward "&amp;8*($A122-96)+K$1</f>
        <v>Room reward 192</v>
      </c>
    </row>
    <row r="123" customFormat="false" ht="13.8" hidden="false" customHeight="false" outlineLevel="0" collapsed="false">
      <c r="A123" s="10" t="n">
        <f aca="false">A122+1</f>
        <v>121</v>
      </c>
      <c r="B123" s="11" t="str">
        <f aca="false">com.sun.star.sheet.addin.Analysis.getDec2Hex(2560+A123)</f>
        <v>A79</v>
      </c>
      <c r="C123" s="12"/>
      <c r="D123" s="104" t="str">
        <f aca="false">"Room reward "&amp;8*($A123-96)+D$1</f>
        <v>Room reward 207</v>
      </c>
      <c r="E123" s="20" t="str">
        <f aca="false">"Room reward "&amp;8*($A123-96)+E$1</f>
        <v>Room reward 206</v>
      </c>
      <c r="F123" s="20" t="str">
        <f aca="false">"Room reward "&amp;8*($A123-96)+F$1</f>
        <v>Room reward 205</v>
      </c>
      <c r="G123" s="107" t="str">
        <f aca="false">"Room reward "&amp;8*($A123-96)+G$1</f>
        <v>Room reward 204</v>
      </c>
      <c r="H123" s="106" t="str">
        <f aca="false">"Room reward "&amp;8*($A123-96)+H$1</f>
        <v>Room reward 203</v>
      </c>
      <c r="I123" s="20" t="str">
        <f aca="false">"Room reward "&amp;8*($A123-96)+I$1</f>
        <v>Room reward 202</v>
      </c>
      <c r="J123" s="20" t="str">
        <f aca="false">"Room reward "&amp;8*($A123-96)+J$1</f>
        <v>Room reward 201</v>
      </c>
      <c r="K123" s="20" t="str">
        <f aca="false">"Room reward "&amp;8*($A123-96)+K$1</f>
        <v>Room reward 200</v>
      </c>
    </row>
    <row r="124" customFormat="false" ht="13.8" hidden="false" customHeight="false" outlineLevel="0" collapsed="false">
      <c r="A124" s="10" t="n">
        <f aca="false">A123+1</f>
        <v>122</v>
      </c>
      <c r="B124" s="11" t="str">
        <f aca="false">com.sun.star.sheet.addin.Analysis.getDec2Hex(2560+A124)</f>
        <v>A7A</v>
      </c>
      <c r="C124" s="12"/>
      <c r="D124" s="104" t="str">
        <f aca="false">"Room reward "&amp;8*($A124-96)+D$1</f>
        <v>Room reward 215</v>
      </c>
      <c r="E124" s="20" t="str">
        <f aca="false">"Room reward "&amp;8*($A124-96)+E$1</f>
        <v>Room reward 214</v>
      </c>
      <c r="F124" s="20" t="str">
        <f aca="false">"Room reward "&amp;8*($A124-96)+F$1</f>
        <v>Room reward 213</v>
      </c>
      <c r="G124" s="107" t="str">
        <f aca="false">"Room reward "&amp;8*($A124-96)+G$1</f>
        <v>Room reward 212</v>
      </c>
      <c r="H124" s="106" t="str">
        <f aca="false">"Room reward "&amp;8*($A124-96)+H$1</f>
        <v>Room reward 211</v>
      </c>
      <c r="I124" s="20" t="str">
        <f aca="false">"Room reward "&amp;8*($A124-96)+I$1</f>
        <v>Room reward 210</v>
      </c>
      <c r="J124" s="20" t="str">
        <f aca="false">"Room reward "&amp;8*($A124-96)+J$1</f>
        <v>Room reward 209</v>
      </c>
      <c r="K124" s="20" t="str">
        <f aca="false">"Room reward "&amp;8*($A124-96)+K$1</f>
        <v>Room reward 208</v>
      </c>
    </row>
    <row r="125" customFormat="false" ht="13.8" hidden="false" customHeight="false" outlineLevel="0" collapsed="false">
      <c r="A125" s="10" t="n">
        <f aca="false">A124+1</f>
        <v>123</v>
      </c>
      <c r="B125" s="11" t="str">
        <f aca="false">com.sun.star.sheet.addin.Analysis.getDec2Hex(2560+A125)</f>
        <v>A7B</v>
      </c>
      <c r="C125" s="12"/>
      <c r="D125" s="104" t="str">
        <f aca="false">"Room reward "&amp;8*($A125-96)+D$1</f>
        <v>Room reward 223</v>
      </c>
      <c r="E125" s="20" t="str">
        <f aca="false">"Room reward "&amp;8*($A125-96)+E$1</f>
        <v>Room reward 222</v>
      </c>
      <c r="F125" s="20" t="str">
        <f aca="false">"Room reward "&amp;8*($A125-96)+F$1</f>
        <v>Room reward 221</v>
      </c>
      <c r="G125" s="107" t="str">
        <f aca="false">"Room reward "&amp;8*($A125-96)+G$1</f>
        <v>Room reward 220</v>
      </c>
      <c r="H125" s="106" t="str">
        <f aca="false">"Room reward "&amp;8*($A125-96)+H$1</f>
        <v>Room reward 219</v>
      </c>
      <c r="I125" s="20" t="str">
        <f aca="false">"Room reward "&amp;8*($A125-96)+I$1</f>
        <v>Room reward 218</v>
      </c>
      <c r="J125" s="20" t="str">
        <f aca="false">"Room reward "&amp;8*($A125-96)+J$1</f>
        <v>Room reward 217</v>
      </c>
      <c r="K125" s="20" t="str">
        <f aca="false">"Room reward "&amp;8*($A125-96)+K$1</f>
        <v>Room reward 216</v>
      </c>
    </row>
    <row r="126" customFormat="false" ht="13.8" hidden="false" customHeight="false" outlineLevel="0" collapsed="false">
      <c r="A126" s="10" t="n">
        <f aca="false">A125+1</f>
        <v>124</v>
      </c>
      <c r="B126" s="11" t="str">
        <f aca="false">com.sun.star.sheet.addin.Analysis.getDec2Hex(2560+A126)</f>
        <v>A7C</v>
      </c>
      <c r="C126" s="12"/>
      <c r="D126" s="104" t="str">
        <f aca="false">"Room reward "&amp;8*($A126-96)+D$1</f>
        <v>Room reward 231</v>
      </c>
      <c r="E126" s="20" t="str">
        <f aca="false">"Room reward "&amp;8*($A126-96)+E$1</f>
        <v>Room reward 230</v>
      </c>
      <c r="F126" s="20" t="str">
        <f aca="false">"Room reward "&amp;8*($A126-96)+F$1</f>
        <v>Room reward 229</v>
      </c>
      <c r="G126" s="107" t="str">
        <f aca="false">"Room reward "&amp;8*($A126-96)+G$1</f>
        <v>Room reward 228</v>
      </c>
      <c r="H126" s="106" t="str">
        <f aca="false">"Room reward "&amp;8*($A126-96)+H$1</f>
        <v>Room reward 227</v>
      </c>
      <c r="I126" s="20" t="str">
        <f aca="false">"Room reward "&amp;8*($A126-96)+I$1</f>
        <v>Room reward 226</v>
      </c>
      <c r="J126" s="20" t="str">
        <f aca="false">"Room reward "&amp;8*($A126-96)+J$1</f>
        <v>Room reward 225</v>
      </c>
      <c r="K126" s="20" t="str">
        <f aca="false">"Room reward "&amp;8*($A126-96)+K$1</f>
        <v>Room reward 224</v>
      </c>
    </row>
    <row r="127" customFormat="false" ht="13.8" hidden="false" customHeight="false" outlineLevel="0" collapsed="false">
      <c r="A127" s="10" t="n">
        <f aca="false">A126+1</f>
        <v>125</v>
      </c>
      <c r="B127" s="11" t="str">
        <f aca="false">com.sun.star.sheet.addin.Analysis.getDec2Hex(2560+A127)</f>
        <v>A7D</v>
      </c>
      <c r="C127" s="12"/>
      <c r="D127" s="104" t="str">
        <f aca="false">"Room reward "&amp;8*($A127-96)+D$1</f>
        <v>Room reward 239</v>
      </c>
      <c r="E127" s="20" t="str">
        <f aca="false">"Room reward "&amp;8*($A127-96)+E$1</f>
        <v>Room reward 238</v>
      </c>
      <c r="F127" s="20" t="str">
        <f aca="false">"Room reward "&amp;8*($A127-96)+F$1</f>
        <v>Room reward 237</v>
      </c>
      <c r="G127" s="107" t="str">
        <f aca="false">"Room reward "&amp;8*($A127-96)+G$1</f>
        <v>Room reward 236</v>
      </c>
      <c r="H127" s="106" t="str">
        <f aca="false">"Room reward "&amp;8*($A127-96)+H$1</f>
        <v>Room reward 235</v>
      </c>
      <c r="I127" s="20" t="str">
        <f aca="false">"Room reward "&amp;8*($A127-96)+I$1</f>
        <v>Room reward 234</v>
      </c>
      <c r="J127" s="20" t="str">
        <f aca="false">"Room reward "&amp;8*($A127-96)+J$1</f>
        <v>Room reward 233</v>
      </c>
      <c r="K127" s="20" t="str">
        <f aca="false">"Room reward "&amp;8*($A127-96)+K$1</f>
        <v>Room reward 232</v>
      </c>
    </row>
    <row r="128" customFormat="false" ht="13.8" hidden="false" customHeight="false" outlineLevel="0" collapsed="false">
      <c r="A128" s="10" t="n">
        <f aca="false">A127+1</f>
        <v>126</v>
      </c>
      <c r="B128" s="11" t="str">
        <f aca="false">com.sun.star.sheet.addin.Analysis.getDec2Hex(2560+A128)</f>
        <v>A7E</v>
      </c>
      <c r="C128" s="12"/>
      <c r="D128" s="104" t="str">
        <f aca="false">"Room reward "&amp;8*($A128-96)+D$1</f>
        <v>Room reward 247</v>
      </c>
      <c r="E128" s="20" t="str">
        <f aca="false">"Room reward "&amp;8*($A128-96)+E$1</f>
        <v>Room reward 246</v>
      </c>
      <c r="F128" s="20" t="str">
        <f aca="false">"Room reward "&amp;8*($A128-96)+F$1</f>
        <v>Room reward 245</v>
      </c>
      <c r="G128" s="107" t="str">
        <f aca="false">"Room reward "&amp;8*($A128-96)+G$1</f>
        <v>Room reward 244</v>
      </c>
      <c r="H128" s="106" t="str">
        <f aca="false">"Room reward "&amp;8*($A128-96)+H$1</f>
        <v>Room reward 243</v>
      </c>
      <c r="I128" s="20" t="str">
        <f aca="false">"Room reward "&amp;8*($A128-96)+I$1</f>
        <v>Room reward 242</v>
      </c>
      <c r="J128" s="20" t="str">
        <f aca="false">"Room reward "&amp;8*($A128-96)+J$1</f>
        <v>Room reward 241</v>
      </c>
      <c r="K128" s="20" t="str">
        <f aca="false">"Room reward "&amp;8*($A128-96)+K$1</f>
        <v>Room reward 240</v>
      </c>
    </row>
    <row r="129" s="62" customFormat="true" ht="13.8" hidden="false" customHeight="false" outlineLevel="0" collapsed="false">
      <c r="A129" s="54" t="n">
        <f aca="false">A128+1</f>
        <v>127</v>
      </c>
      <c r="B129" s="55" t="str">
        <f aca="false">com.sun.star.sheet.addin.Analysis.getDec2Hex(2560+A129)</f>
        <v>A7F</v>
      </c>
      <c r="C129" s="101"/>
      <c r="D129" s="122" t="str">
        <f aca="false">"Room reward "&amp;8*($A129-96)+D$1</f>
        <v>Room reward 255</v>
      </c>
      <c r="E129" s="123" t="str">
        <f aca="false">"Room reward "&amp;8*($A129-96)+E$1</f>
        <v>Room reward 254</v>
      </c>
      <c r="F129" s="123" t="str">
        <f aca="false">"Room reward "&amp;8*($A129-96)+F$1</f>
        <v>Room reward 253</v>
      </c>
      <c r="G129" s="124" t="str">
        <f aca="false">"Room reward "&amp;8*($A129-96)+G$1</f>
        <v>Room reward 252</v>
      </c>
      <c r="H129" s="125" t="str">
        <f aca="false">"Room reward "&amp;8*($A129-96)+H$1</f>
        <v>Room reward 251</v>
      </c>
      <c r="I129" s="123" t="str">
        <f aca="false">"Room reward "&amp;8*($A129-96)+I$1</f>
        <v>Room reward 250</v>
      </c>
      <c r="J129" s="123" t="str">
        <f aca="false">"Room reward "&amp;8*($A129-96)+J$1</f>
        <v>Room reward 249</v>
      </c>
      <c r="K129" s="123" t="str">
        <f aca="false">"Room reward "&amp;8*($A129-96)+K$1</f>
        <v>Room reward 248</v>
      </c>
      <c r="AMH129" s="0"/>
      <c r="AMI129" s="0"/>
      <c r="AMJ129" s="0"/>
    </row>
    <row r="130" customFormat="false" ht="13.8" hidden="false" customHeight="false" outlineLevel="0" collapsed="false">
      <c r="A130" s="63" t="n">
        <f aca="false">A129+1</f>
        <v>128</v>
      </c>
      <c r="B130" s="64" t="str">
        <f aca="false">com.sun.star.sheet.addin.Analysis.getDec2Hex(2560+A130)</f>
        <v>A80</v>
      </c>
      <c r="C130" s="65" t="s">
        <v>413</v>
      </c>
      <c r="D130" s="108" t="str">
        <f aca="false">"Defeated enemy "&amp;8*($A130-128)+D$1</f>
        <v>Defeated enemy 7</v>
      </c>
      <c r="E130" s="109" t="str">
        <f aca="false">"Defeated enemy "&amp;8*($A130-128)+E$1</f>
        <v>Defeated enemy 6</v>
      </c>
      <c r="F130" s="109" t="str">
        <f aca="false">"Defeated enemy "&amp;8*($A130-128)+F$1</f>
        <v>Defeated enemy 5</v>
      </c>
      <c r="G130" s="109" t="str">
        <f aca="false">"Defeated enemy "&amp;8*($A130-128)+G$1</f>
        <v>Defeated enemy 4</v>
      </c>
      <c r="H130" s="108" t="str">
        <f aca="false">"Defeated enemy "&amp;8*($A130-128)+H$1</f>
        <v>Defeated enemy 3</v>
      </c>
      <c r="I130" s="109" t="str">
        <f aca="false">"Defeated enemy "&amp;8*($A130-128)+I$1</f>
        <v>Defeated enemy 2</v>
      </c>
      <c r="J130" s="109" t="str">
        <f aca="false">"Defeated enemy "&amp;8*($A130-128)+J$1</f>
        <v>Defeated enemy 1</v>
      </c>
      <c r="K130" s="109" t="str">
        <f aca="false">"Defeated enemy "&amp;8*($A130-128)+K$1</f>
        <v>Defeated enemy 0</v>
      </c>
    </row>
    <row r="131" customFormat="false" ht="13.8" hidden="false" customHeight="false" outlineLevel="0" collapsed="false">
      <c r="A131" s="10" t="n">
        <f aca="false">A130+1</f>
        <v>129</v>
      </c>
      <c r="B131" s="11" t="str">
        <f aca="false">com.sun.star.sheet.addin.Analysis.getDec2Hex(2560+A131)</f>
        <v>A81</v>
      </c>
      <c r="C131" s="12"/>
      <c r="D131" s="108" t="str">
        <f aca="false">"Defeated enemy "&amp;8*($A131-128)+D$1</f>
        <v>Defeated enemy 15</v>
      </c>
      <c r="E131" s="109" t="str">
        <f aca="false">"Defeated enemy "&amp;8*($A131-128)+E$1</f>
        <v>Defeated enemy 14</v>
      </c>
      <c r="F131" s="109" t="str">
        <f aca="false">"Defeated enemy "&amp;8*($A131-128)+F$1</f>
        <v>Defeated enemy 13</v>
      </c>
      <c r="G131" s="109" t="str">
        <f aca="false">"Defeated enemy "&amp;8*($A131-128)+G$1</f>
        <v>Defeated enemy 12</v>
      </c>
      <c r="H131" s="108" t="str">
        <f aca="false">"Defeated enemy "&amp;8*($A131-128)+H$1</f>
        <v>Defeated enemy 11</v>
      </c>
      <c r="I131" s="109" t="str">
        <f aca="false">"Defeated enemy "&amp;8*($A131-128)+I$1</f>
        <v>Defeated enemy 10</v>
      </c>
      <c r="J131" s="109" t="str">
        <f aca="false">"Defeated enemy "&amp;8*($A131-128)+J$1</f>
        <v>Defeated enemy 9</v>
      </c>
      <c r="K131" s="109" t="str">
        <f aca="false">"Defeated enemy "&amp;8*($A131-128)+K$1</f>
        <v>Defeated enemy 8</v>
      </c>
    </row>
    <row r="132" customFormat="false" ht="13.8" hidden="false" customHeight="false" outlineLevel="0" collapsed="false">
      <c r="A132" s="10" t="n">
        <f aca="false">A131+1</f>
        <v>130</v>
      </c>
      <c r="B132" s="11" t="str">
        <f aca="false">com.sun.star.sheet.addin.Analysis.getDec2Hex(2560+A132)</f>
        <v>A82</v>
      </c>
      <c r="C132" s="12"/>
      <c r="D132" s="108" t="str">
        <f aca="false">"Defeated enemy "&amp;8*($A132-128)+D$1</f>
        <v>Defeated enemy 23</v>
      </c>
      <c r="E132" s="109" t="str">
        <f aca="false">"Defeated enemy "&amp;8*($A132-128)+E$1</f>
        <v>Defeated enemy 22</v>
      </c>
      <c r="F132" s="109" t="str">
        <f aca="false">"Defeated enemy "&amp;8*($A132-128)+F$1</f>
        <v>Defeated enemy 21</v>
      </c>
      <c r="G132" s="109" t="str">
        <f aca="false">"Defeated enemy "&amp;8*($A132-128)+G$1</f>
        <v>Defeated enemy 20</v>
      </c>
      <c r="H132" s="108" t="str">
        <f aca="false">"Defeated enemy "&amp;8*($A132-128)+H$1</f>
        <v>Defeated enemy 19</v>
      </c>
      <c r="I132" s="109" t="str">
        <f aca="false">"Defeated enemy "&amp;8*($A132-128)+I$1</f>
        <v>Defeated enemy 18</v>
      </c>
      <c r="J132" s="109" t="str">
        <f aca="false">"Defeated enemy "&amp;8*($A132-128)+J$1</f>
        <v>Defeated enemy 17</v>
      </c>
      <c r="K132" s="109" t="str">
        <f aca="false">"Defeated enemy "&amp;8*($A132-128)+K$1</f>
        <v>Defeated enemy 16</v>
      </c>
    </row>
    <row r="133" customFormat="false" ht="13.8" hidden="false" customHeight="false" outlineLevel="0" collapsed="false">
      <c r="A133" s="10" t="n">
        <f aca="false">A132+1</f>
        <v>131</v>
      </c>
      <c r="B133" s="11" t="str">
        <f aca="false">com.sun.star.sheet.addin.Analysis.getDec2Hex(2560+A133)</f>
        <v>A83</v>
      </c>
      <c r="C133" s="12"/>
      <c r="D133" s="108" t="str">
        <f aca="false">"Defeated enemy "&amp;8*($A133-128)+D$1</f>
        <v>Defeated enemy 31</v>
      </c>
      <c r="E133" s="109" t="str">
        <f aca="false">"Defeated enemy "&amp;8*($A133-128)+E$1</f>
        <v>Defeated enemy 30</v>
      </c>
      <c r="F133" s="109" t="str">
        <f aca="false">"Defeated enemy "&amp;8*($A133-128)+F$1</f>
        <v>Defeated enemy 29</v>
      </c>
      <c r="G133" s="109" t="str">
        <f aca="false">"Defeated enemy "&amp;8*($A133-128)+G$1</f>
        <v>Defeated enemy 28</v>
      </c>
      <c r="H133" s="108" t="str">
        <f aca="false">"Defeated enemy "&amp;8*($A133-128)+H$1</f>
        <v>Defeated enemy 27</v>
      </c>
      <c r="I133" s="109" t="str">
        <f aca="false">"Defeated enemy "&amp;8*($A133-128)+I$1</f>
        <v>Defeated enemy 26</v>
      </c>
      <c r="J133" s="109" t="str">
        <f aca="false">"Defeated enemy "&amp;8*($A133-128)+J$1</f>
        <v>Defeated enemy 25</v>
      </c>
      <c r="K133" s="109" t="str">
        <f aca="false">"Defeated enemy "&amp;8*($A133-128)+K$1</f>
        <v>Defeated enemy 24</v>
      </c>
    </row>
    <row r="134" customFormat="false" ht="13.8" hidden="false" customHeight="false" outlineLevel="0" collapsed="false">
      <c r="A134" s="10" t="n">
        <f aca="false">A133+1</f>
        <v>132</v>
      </c>
      <c r="B134" s="11" t="str">
        <f aca="false">com.sun.star.sheet.addin.Analysis.getDec2Hex(2560+A134)</f>
        <v>A84</v>
      </c>
      <c r="C134" s="12"/>
      <c r="D134" s="108" t="str">
        <f aca="false">"Defeated enemy "&amp;8*($A134-128)+D$1</f>
        <v>Defeated enemy 39</v>
      </c>
      <c r="E134" s="109" t="str">
        <f aca="false">"Defeated enemy "&amp;8*($A134-128)+E$1</f>
        <v>Defeated enemy 38</v>
      </c>
      <c r="F134" s="109" t="str">
        <f aca="false">"Defeated enemy "&amp;8*($A134-128)+F$1</f>
        <v>Defeated enemy 37</v>
      </c>
      <c r="G134" s="109" t="str">
        <f aca="false">"Defeated enemy "&amp;8*($A134-128)+G$1</f>
        <v>Defeated enemy 36</v>
      </c>
      <c r="H134" s="108" t="str">
        <f aca="false">"Defeated enemy "&amp;8*($A134-128)+H$1</f>
        <v>Defeated enemy 35</v>
      </c>
      <c r="I134" s="109" t="str">
        <f aca="false">"Defeated enemy "&amp;8*($A134-128)+I$1</f>
        <v>Defeated enemy 34</v>
      </c>
      <c r="J134" s="109" t="str">
        <f aca="false">"Defeated enemy "&amp;8*($A134-128)+J$1</f>
        <v>Defeated enemy 33</v>
      </c>
      <c r="K134" s="109" t="str">
        <f aca="false">"Defeated enemy "&amp;8*($A134-128)+K$1</f>
        <v>Defeated enemy 32</v>
      </c>
    </row>
    <row r="135" customFormat="false" ht="13.8" hidden="false" customHeight="false" outlineLevel="0" collapsed="false">
      <c r="A135" s="10" t="n">
        <f aca="false">A134+1</f>
        <v>133</v>
      </c>
      <c r="B135" s="11" t="str">
        <f aca="false">com.sun.star.sheet.addin.Analysis.getDec2Hex(2560+A135)</f>
        <v>A85</v>
      </c>
      <c r="C135" s="12"/>
      <c r="D135" s="108" t="str">
        <f aca="false">"Defeated enemy "&amp;8*($A135-128)+D$1</f>
        <v>Defeated enemy 47</v>
      </c>
      <c r="E135" s="109" t="str">
        <f aca="false">"Defeated enemy "&amp;8*($A135-128)+E$1</f>
        <v>Defeated enemy 46</v>
      </c>
      <c r="F135" s="109" t="str">
        <f aca="false">"Defeated enemy "&amp;8*($A135-128)+F$1</f>
        <v>Defeated enemy 45</v>
      </c>
      <c r="G135" s="109" t="str">
        <f aca="false">"Defeated enemy "&amp;8*($A135-128)+G$1</f>
        <v>Defeated enemy 44</v>
      </c>
      <c r="H135" s="108" t="str">
        <f aca="false">"Defeated enemy "&amp;8*($A135-128)+H$1</f>
        <v>Defeated enemy 43</v>
      </c>
      <c r="I135" s="109" t="str">
        <f aca="false">"Defeated enemy "&amp;8*($A135-128)+I$1</f>
        <v>Defeated enemy 42</v>
      </c>
      <c r="J135" s="109" t="str">
        <f aca="false">"Defeated enemy "&amp;8*($A135-128)+J$1</f>
        <v>Defeated enemy 41</v>
      </c>
      <c r="K135" s="109" t="str">
        <f aca="false">"Defeated enemy "&amp;8*($A135-128)+K$1</f>
        <v>Defeated enemy 40</v>
      </c>
    </row>
    <row r="136" customFormat="false" ht="13.8" hidden="false" customHeight="false" outlineLevel="0" collapsed="false">
      <c r="A136" s="10" t="n">
        <f aca="false">A135+1</f>
        <v>134</v>
      </c>
      <c r="B136" s="11" t="str">
        <f aca="false">com.sun.star.sheet.addin.Analysis.getDec2Hex(2560+A136)</f>
        <v>A86</v>
      </c>
      <c r="C136" s="12"/>
      <c r="D136" s="108" t="str">
        <f aca="false">"Defeated enemy "&amp;8*($A136-128)+D$1</f>
        <v>Defeated enemy 55</v>
      </c>
      <c r="E136" s="109" t="str">
        <f aca="false">"Defeated enemy "&amp;8*($A136-128)+E$1</f>
        <v>Defeated enemy 54</v>
      </c>
      <c r="F136" s="109" t="str">
        <f aca="false">"Defeated enemy "&amp;8*($A136-128)+F$1</f>
        <v>Defeated enemy 53</v>
      </c>
      <c r="G136" s="109" t="str">
        <f aca="false">"Defeated enemy "&amp;8*($A136-128)+G$1</f>
        <v>Defeated enemy 52</v>
      </c>
      <c r="H136" s="108" t="str">
        <f aca="false">"Defeated enemy "&amp;8*($A136-128)+H$1</f>
        <v>Defeated enemy 51</v>
      </c>
      <c r="I136" s="109" t="str">
        <f aca="false">"Defeated enemy "&amp;8*($A136-128)+I$1</f>
        <v>Defeated enemy 50</v>
      </c>
      <c r="J136" s="109" t="str">
        <f aca="false">"Defeated enemy "&amp;8*($A136-128)+J$1</f>
        <v>Defeated enemy 49</v>
      </c>
      <c r="K136" s="109" t="str">
        <f aca="false">"Defeated enemy "&amp;8*($A136-128)+K$1</f>
        <v>Defeated enemy 48</v>
      </c>
    </row>
    <row r="137" customFormat="false" ht="13.8" hidden="false" customHeight="false" outlineLevel="0" collapsed="false">
      <c r="A137" s="10" t="n">
        <f aca="false">A136+1</f>
        <v>135</v>
      </c>
      <c r="B137" s="11" t="str">
        <f aca="false">com.sun.star.sheet.addin.Analysis.getDec2Hex(2560+A137)</f>
        <v>A87</v>
      </c>
      <c r="C137" s="12"/>
      <c r="D137" s="108" t="str">
        <f aca="false">"Defeated enemy "&amp;8*($A137-128)+D$1</f>
        <v>Defeated enemy 63</v>
      </c>
      <c r="E137" s="109" t="str">
        <f aca="false">"Defeated enemy "&amp;8*($A137-128)+E$1</f>
        <v>Defeated enemy 62</v>
      </c>
      <c r="F137" s="109" t="str">
        <f aca="false">"Defeated enemy "&amp;8*($A137-128)+F$1</f>
        <v>Defeated enemy 61</v>
      </c>
      <c r="G137" s="109" t="str">
        <f aca="false">"Defeated enemy "&amp;8*($A137-128)+G$1</f>
        <v>Defeated enemy 60</v>
      </c>
      <c r="H137" s="108" t="str">
        <f aca="false">"Defeated enemy "&amp;8*($A137-128)+H$1</f>
        <v>Defeated enemy 59</v>
      </c>
      <c r="I137" s="109" t="str">
        <f aca="false">"Defeated enemy "&amp;8*($A137-128)+I$1</f>
        <v>Defeated enemy 58</v>
      </c>
      <c r="J137" s="109" t="str">
        <f aca="false">"Defeated enemy "&amp;8*($A137-128)+J$1</f>
        <v>Defeated enemy 57</v>
      </c>
      <c r="K137" s="109" t="str">
        <f aca="false">"Defeated enemy "&amp;8*($A137-128)+K$1</f>
        <v>Defeated enemy 56</v>
      </c>
    </row>
    <row r="138" customFormat="false" ht="13.8" hidden="false" customHeight="false" outlineLevel="0" collapsed="false">
      <c r="A138" s="10" t="n">
        <f aca="false">A137+1</f>
        <v>136</v>
      </c>
      <c r="B138" s="11" t="str">
        <f aca="false">com.sun.star.sheet.addin.Analysis.getDec2Hex(2560+A138)</f>
        <v>A88</v>
      </c>
      <c r="C138" s="12"/>
      <c r="D138" s="108" t="str">
        <f aca="false">"Defeated enemy "&amp;8*($A138-128)+D$1</f>
        <v>Defeated enemy 71</v>
      </c>
      <c r="E138" s="109" t="str">
        <f aca="false">"Defeated enemy "&amp;8*($A138-128)+E$1</f>
        <v>Defeated enemy 70</v>
      </c>
      <c r="F138" s="109" t="str">
        <f aca="false">"Defeated enemy "&amp;8*($A138-128)+F$1</f>
        <v>Defeated enemy 69</v>
      </c>
      <c r="G138" s="109" t="str">
        <f aca="false">"Defeated enemy "&amp;8*($A138-128)+G$1</f>
        <v>Defeated enemy 68</v>
      </c>
      <c r="H138" s="108" t="str">
        <f aca="false">"Defeated enemy "&amp;8*($A138-128)+H$1</f>
        <v>Defeated enemy 67</v>
      </c>
      <c r="I138" s="109" t="str">
        <f aca="false">"Defeated enemy "&amp;8*($A138-128)+I$1</f>
        <v>Defeated enemy 66</v>
      </c>
      <c r="J138" s="109" t="str">
        <f aca="false">"Defeated enemy "&amp;8*($A138-128)+J$1</f>
        <v>Defeated enemy 65</v>
      </c>
      <c r="K138" s="109" t="str">
        <f aca="false">"Defeated enemy "&amp;8*($A138-128)+K$1</f>
        <v>Defeated enemy 64</v>
      </c>
    </row>
    <row r="139" customFormat="false" ht="13.8" hidden="false" customHeight="false" outlineLevel="0" collapsed="false">
      <c r="A139" s="10" t="n">
        <f aca="false">A138+1</f>
        <v>137</v>
      </c>
      <c r="B139" s="11" t="str">
        <f aca="false">com.sun.star.sheet.addin.Analysis.getDec2Hex(2560+A139)</f>
        <v>A89</v>
      </c>
      <c r="C139" s="12"/>
      <c r="D139" s="108" t="str">
        <f aca="false">"Defeated enemy "&amp;8*($A139-128)+D$1</f>
        <v>Defeated enemy 79</v>
      </c>
      <c r="E139" s="109" t="str">
        <f aca="false">"Defeated enemy "&amp;8*($A139-128)+E$1</f>
        <v>Defeated enemy 78</v>
      </c>
      <c r="F139" s="109" t="str">
        <f aca="false">"Defeated enemy "&amp;8*($A139-128)+F$1</f>
        <v>Defeated enemy 77</v>
      </c>
      <c r="G139" s="109" t="str">
        <f aca="false">"Defeated enemy "&amp;8*($A139-128)+G$1</f>
        <v>Defeated enemy 76</v>
      </c>
      <c r="H139" s="108" t="str">
        <f aca="false">"Defeated enemy "&amp;8*($A139-128)+H$1</f>
        <v>Defeated enemy 75</v>
      </c>
      <c r="I139" s="109" t="str">
        <f aca="false">"Defeated enemy "&amp;8*($A139-128)+I$1</f>
        <v>Defeated enemy 74</v>
      </c>
      <c r="J139" s="109" t="str">
        <f aca="false">"Defeated enemy "&amp;8*($A139-128)+J$1</f>
        <v>Defeated enemy 73</v>
      </c>
      <c r="K139" s="109" t="str">
        <f aca="false">"Defeated enemy "&amp;8*($A139-128)+K$1</f>
        <v>Defeated enemy 72</v>
      </c>
    </row>
    <row r="140" customFormat="false" ht="13.8" hidden="false" customHeight="false" outlineLevel="0" collapsed="false">
      <c r="A140" s="10" t="n">
        <f aca="false">A139+1</f>
        <v>138</v>
      </c>
      <c r="B140" s="11" t="str">
        <f aca="false">com.sun.star.sheet.addin.Analysis.getDec2Hex(2560+A140)</f>
        <v>A8A</v>
      </c>
      <c r="C140" s="12"/>
      <c r="D140" s="108" t="str">
        <f aca="false">"Defeated enemy "&amp;8*($A140-128)+D$1</f>
        <v>Defeated enemy 87</v>
      </c>
      <c r="E140" s="109" t="str">
        <f aca="false">"Defeated enemy "&amp;8*($A140-128)+E$1</f>
        <v>Defeated enemy 86</v>
      </c>
      <c r="F140" s="109" t="str">
        <f aca="false">"Defeated enemy "&amp;8*($A140-128)+F$1</f>
        <v>Defeated enemy 85</v>
      </c>
      <c r="G140" s="109" t="str">
        <f aca="false">"Defeated enemy "&amp;8*($A140-128)+G$1</f>
        <v>Defeated enemy 84</v>
      </c>
      <c r="H140" s="108" t="str">
        <f aca="false">"Defeated enemy "&amp;8*($A140-128)+H$1</f>
        <v>Defeated enemy 83</v>
      </c>
      <c r="I140" s="109" t="str">
        <f aca="false">"Defeated enemy "&amp;8*($A140-128)+I$1</f>
        <v>Defeated enemy 82</v>
      </c>
      <c r="J140" s="109" t="str">
        <f aca="false">"Defeated enemy "&amp;8*($A140-128)+J$1</f>
        <v>Defeated enemy 81</v>
      </c>
      <c r="K140" s="109" t="str">
        <f aca="false">"Defeated enemy "&amp;8*($A140-128)+K$1</f>
        <v>Defeated enemy 80</v>
      </c>
    </row>
    <row r="141" customFormat="false" ht="13.8" hidden="false" customHeight="false" outlineLevel="0" collapsed="false">
      <c r="A141" s="10" t="n">
        <f aca="false">A140+1</f>
        <v>139</v>
      </c>
      <c r="B141" s="11" t="str">
        <f aca="false">com.sun.star.sheet.addin.Analysis.getDec2Hex(2560+A141)</f>
        <v>A8B</v>
      </c>
      <c r="C141" s="12"/>
      <c r="D141" s="108" t="str">
        <f aca="false">"Defeated enemy "&amp;8*($A141-128)+D$1</f>
        <v>Defeated enemy 95</v>
      </c>
      <c r="E141" s="109" t="str">
        <f aca="false">"Defeated enemy "&amp;8*($A141-128)+E$1</f>
        <v>Defeated enemy 94</v>
      </c>
      <c r="F141" s="109" t="str">
        <f aca="false">"Defeated enemy "&amp;8*($A141-128)+F$1</f>
        <v>Defeated enemy 93</v>
      </c>
      <c r="G141" s="109" t="str">
        <f aca="false">"Defeated enemy "&amp;8*($A141-128)+G$1</f>
        <v>Defeated enemy 92</v>
      </c>
      <c r="H141" s="108" t="str">
        <f aca="false">"Defeated enemy "&amp;8*($A141-128)+H$1</f>
        <v>Defeated enemy 91</v>
      </c>
      <c r="I141" s="109" t="str">
        <f aca="false">"Defeated enemy "&amp;8*($A141-128)+I$1</f>
        <v>Defeated enemy 90</v>
      </c>
      <c r="J141" s="109" t="str">
        <f aca="false">"Defeated enemy "&amp;8*($A141-128)+J$1</f>
        <v>Defeated enemy 89</v>
      </c>
      <c r="K141" s="109" t="str">
        <f aca="false">"Defeated enemy "&amp;8*($A141-128)+K$1</f>
        <v>Defeated enemy 88</v>
      </c>
    </row>
    <row r="142" customFormat="false" ht="13.8" hidden="false" customHeight="false" outlineLevel="0" collapsed="false">
      <c r="A142" s="10" t="n">
        <f aca="false">A141+1</f>
        <v>140</v>
      </c>
      <c r="B142" s="11" t="str">
        <f aca="false">com.sun.star.sheet.addin.Analysis.getDec2Hex(2560+A142)</f>
        <v>A8C</v>
      </c>
      <c r="C142" s="12"/>
      <c r="D142" s="108" t="str">
        <f aca="false">"Defeated enemy "&amp;8*($A142-128)+D$1</f>
        <v>Defeated enemy 103</v>
      </c>
      <c r="E142" s="109" t="str">
        <f aca="false">"Defeated enemy "&amp;8*($A142-128)+E$1</f>
        <v>Defeated enemy 102</v>
      </c>
      <c r="F142" s="109" t="str">
        <f aca="false">"Defeated enemy "&amp;8*($A142-128)+F$1</f>
        <v>Defeated enemy 101</v>
      </c>
      <c r="G142" s="109" t="str">
        <f aca="false">"Defeated enemy "&amp;8*($A142-128)+G$1</f>
        <v>Defeated enemy 100</v>
      </c>
      <c r="H142" s="108" t="str">
        <f aca="false">"Defeated enemy "&amp;8*($A142-128)+H$1</f>
        <v>Defeated enemy 99</v>
      </c>
      <c r="I142" s="109" t="str">
        <f aca="false">"Defeated enemy "&amp;8*($A142-128)+I$1</f>
        <v>Defeated enemy 98</v>
      </c>
      <c r="J142" s="109" t="str">
        <f aca="false">"Defeated enemy "&amp;8*($A142-128)+J$1</f>
        <v>Defeated enemy 97</v>
      </c>
      <c r="K142" s="109" t="str">
        <f aca="false">"Defeated enemy "&amp;8*($A142-128)+K$1</f>
        <v>Defeated enemy 96</v>
      </c>
    </row>
    <row r="143" customFormat="false" ht="13.8" hidden="false" customHeight="false" outlineLevel="0" collapsed="false">
      <c r="A143" s="10" t="n">
        <f aca="false">A142+1</f>
        <v>141</v>
      </c>
      <c r="B143" s="11" t="str">
        <f aca="false">com.sun.star.sheet.addin.Analysis.getDec2Hex(2560+A143)</f>
        <v>A8D</v>
      </c>
      <c r="C143" s="12"/>
      <c r="D143" s="108" t="str">
        <f aca="false">"Defeated enemy "&amp;8*($A143-128)+D$1</f>
        <v>Defeated enemy 111</v>
      </c>
      <c r="E143" s="109" t="str">
        <f aca="false">"Defeated enemy "&amp;8*($A143-128)+E$1</f>
        <v>Defeated enemy 110</v>
      </c>
      <c r="F143" s="109" t="str">
        <f aca="false">"Defeated enemy "&amp;8*($A143-128)+F$1</f>
        <v>Defeated enemy 109</v>
      </c>
      <c r="G143" s="109" t="str">
        <f aca="false">"Defeated enemy "&amp;8*($A143-128)+G$1</f>
        <v>Defeated enemy 108</v>
      </c>
      <c r="H143" s="108" t="str">
        <f aca="false">"Defeated enemy "&amp;8*($A143-128)+H$1</f>
        <v>Defeated enemy 107</v>
      </c>
      <c r="I143" s="109" t="str">
        <f aca="false">"Defeated enemy "&amp;8*($A143-128)+I$1</f>
        <v>Defeated enemy 106</v>
      </c>
      <c r="J143" s="109" t="str">
        <f aca="false">"Defeated enemy "&amp;8*($A143-128)+J$1</f>
        <v>Defeated enemy 105</v>
      </c>
      <c r="K143" s="109" t="str">
        <f aca="false">"Defeated enemy "&amp;8*($A143-128)+K$1</f>
        <v>Defeated enemy 104</v>
      </c>
    </row>
    <row r="144" customFormat="false" ht="13.8" hidden="false" customHeight="false" outlineLevel="0" collapsed="false">
      <c r="A144" s="10" t="n">
        <f aca="false">A143+1</f>
        <v>142</v>
      </c>
      <c r="B144" s="11" t="str">
        <f aca="false">com.sun.star.sheet.addin.Analysis.getDec2Hex(2560+A144)</f>
        <v>A8E</v>
      </c>
      <c r="C144" s="12"/>
      <c r="D144" s="108" t="str">
        <f aca="false">"Defeated enemy "&amp;8*($A144-128)+D$1</f>
        <v>Defeated enemy 119</v>
      </c>
      <c r="E144" s="109" t="str">
        <f aca="false">"Defeated enemy "&amp;8*($A144-128)+E$1</f>
        <v>Defeated enemy 118</v>
      </c>
      <c r="F144" s="109" t="str">
        <f aca="false">"Defeated enemy "&amp;8*($A144-128)+F$1</f>
        <v>Defeated enemy 117</v>
      </c>
      <c r="G144" s="109" t="str">
        <f aca="false">"Defeated enemy "&amp;8*($A144-128)+G$1</f>
        <v>Defeated enemy 116</v>
      </c>
      <c r="H144" s="108" t="str">
        <f aca="false">"Defeated enemy "&amp;8*($A144-128)+H$1</f>
        <v>Defeated enemy 115</v>
      </c>
      <c r="I144" s="109" t="str">
        <f aca="false">"Defeated enemy "&amp;8*($A144-128)+I$1</f>
        <v>Defeated enemy 114</v>
      </c>
      <c r="J144" s="109" t="str">
        <f aca="false">"Defeated enemy "&amp;8*($A144-128)+J$1</f>
        <v>Defeated enemy 113</v>
      </c>
      <c r="K144" s="109" t="str">
        <f aca="false">"Defeated enemy "&amp;8*($A144-128)+K$1</f>
        <v>Defeated enemy 112</v>
      </c>
    </row>
    <row r="145" s="62" customFormat="true" ht="13.8" hidden="false" customHeight="false" outlineLevel="0" collapsed="false">
      <c r="A145" s="54" t="n">
        <f aca="false">A144+1</f>
        <v>143</v>
      </c>
      <c r="B145" s="55" t="str">
        <f aca="false">com.sun.star.sheet.addin.Analysis.getDec2Hex(2560+A145)</f>
        <v>A8F</v>
      </c>
      <c r="C145" s="101"/>
      <c r="D145" s="126" t="str">
        <f aca="false">"Defeated enemy "&amp;8*($A145-128)+D$1</f>
        <v>Defeated enemy 127</v>
      </c>
      <c r="E145" s="127" t="str">
        <f aca="false">"Defeated enemy "&amp;8*($A145-128)+E$1</f>
        <v>Defeated enemy 126</v>
      </c>
      <c r="F145" s="127" t="str">
        <f aca="false">"Defeated enemy "&amp;8*($A145-128)+F$1</f>
        <v>Defeated enemy 125</v>
      </c>
      <c r="G145" s="127" t="str">
        <f aca="false">"Defeated enemy "&amp;8*($A145-128)+G$1</f>
        <v>Defeated enemy 124</v>
      </c>
      <c r="H145" s="126" t="str">
        <f aca="false">"Defeated enemy "&amp;8*($A145-128)+H$1</f>
        <v>Defeated enemy 123</v>
      </c>
      <c r="I145" s="127" t="str">
        <f aca="false">"Defeated enemy "&amp;8*($A145-128)+I$1</f>
        <v>Defeated enemy 122</v>
      </c>
      <c r="J145" s="127" t="str">
        <f aca="false">"Defeated enemy "&amp;8*($A145-128)+J$1</f>
        <v>Defeated enemy 121</v>
      </c>
      <c r="K145" s="127" t="str">
        <f aca="false">"Defeated enemy "&amp;8*($A145-128)+K$1</f>
        <v>Defeated enemy 120</v>
      </c>
      <c r="AMH145" s="0"/>
      <c r="AMI145" s="0"/>
      <c r="AMJ145" s="0"/>
    </row>
    <row r="146" customFormat="false" ht="13.8" hidden="false" customHeight="false" outlineLevel="0" collapsed="false">
      <c r="A146" s="63" t="n">
        <f aca="false">A145+1</f>
        <v>144</v>
      </c>
      <c r="B146" s="64" t="str">
        <f aca="false">com.sun.star.sheet.addin.Analysis.getDec2Hex(2560+A146)</f>
        <v>A90</v>
      </c>
      <c r="C146" s="65"/>
      <c r="D146" s="108" t="str">
        <f aca="false">"Defeated enemy "&amp;8*($A146-128)+D$1</f>
        <v>Defeated enemy 135</v>
      </c>
      <c r="E146" s="109" t="str">
        <f aca="false">"Defeated enemy "&amp;8*($A146-128)+E$1</f>
        <v>Defeated enemy 134</v>
      </c>
      <c r="F146" s="109" t="str">
        <f aca="false">"Defeated enemy "&amp;8*($A146-128)+F$1</f>
        <v>Defeated enemy 133</v>
      </c>
      <c r="G146" s="109" t="str">
        <f aca="false">"Defeated enemy "&amp;8*($A146-128)+G$1</f>
        <v>Defeated enemy 132</v>
      </c>
      <c r="H146" s="108" t="str">
        <f aca="false">"Defeated enemy "&amp;8*($A146-128)+H$1</f>
        <v>Defeated enemy 131</v>
      </c>
      <c r="I146" s="109" t="str">
        <f aca="false">"Defeated enemy "&amp;8*($A146-128)+I$1</f>
        <v>Defeated enemy 130</v>
      </c>
      <c r="J146" s="109" t="str">
        <f aca="false">"Defeated enemy "&amp;8*($A146-128)+J$1</f>
        <v>Defeated enemy 129</v>
      </c>
      <c r="K146" s="109" t="str">
        <f aca="false">"Defeated enemy "&amp;8*($A146-128)+K$1</f>
        <v>Defeated enemy 128</v>
      </c>
    </row>
    <row r="147" customFormat="false" ht="13.8" hidden="false" customHeight="false" outlineLevel="0" collapsed="false">
      <c r="A147" s="10" t="n">
        <f aca="false">A146+1</f>
        <v>145</v>
      </c>
      <c r="B147" s="11" t="str">
        <f aca="false">com.sun.star.sheet.addin.Analysis.getDec2Hex(2560+A147)</f>
        <v>A91</v>
      </c>
      <c r="C147" s="12"/>
      <c r="D147" s="108" t="str">
        <f aca="false">"Defeated enemy "&amp;8*($A147-128)+D$1</f>
        <v>Defeated enemy 143</v>
      </c>
      <c r="E147" s="109" t="str">
        <f aca="false">"Defeated enemy "&amp;8*($A147-128)+E$1</f>
        <v>Defeated enemy 142</v>
      </c>
      <c r="F147" s="109" t="str">
        <f aca="false">"Defeated enemy "&amp;8*($A147-128)+F$1</f>
        <v>Defeated enemy 141</v>
      </c>
      <c r="G147" s="109" t="str">
        <f aca="false">"Defeated enemy "&amp;8*($A147-128)+G$1</f>
        <v>Defeated enemy 140</v>
      </c>
      <c r="H147" s="108" t="str">
        <f aca="false">"Defeated enemy "&amp;8*($A147-128)+H$1</f>
        <v>Defeated enemy 139</v>
      </c>
      <c r="I147" s="109" t="str">
        <f aca="false">"Defeated enemy "&amp;8*($A147-128)+I$1</f>
        <v>Defeated enemy 138</v>
      </c>
      <c r="J147" s="109" t="str">
        <f aca="false">"Defeated enemy "&amp;8*($A147-128)+J$1</f>
        <v>Defeated enemy 137</v>
      </c>
      <c r="K147" s="109" t="str">
        <f aca="false">"Defeated enemy "&amp;8*($A147-128)+K$1</f>
        <v>Defeated enemy 136</v>
      </c>
    </row>
    <row r="148" customFormat="false" ht="13.8" hidden="false" customHeight="false" outlineLevel="0" collapsed="false">
      <c r="A148" s="10" t="n">
        <f aca="false">A147+1</f>
        <v>146</v>
      </c>
      <c r="B148" s="11" t="str">
        <f aca="false">com.sun.star.sheet.addin.Analysis.getDec2Hex(2560+A148)</f>
        <v>A92</v>
      </c>
      <c r="C148" s="12"/>
      <c r="D148" s="108" t="str">
        <f aca="false">"Defeated enemy "&amp;8*($A148-128)+D$1</f>
        <v>Defeated enemy 151</v>
      </c>
      <c r="E148" s="109" t="str">
        <f aca="false">"Defeated enemy "&amp;8*($A148-128)+E$1</f>
        <v>Defeated enemy 150</v>
      </c>
      <c r="F148" s="109" t="str">
        <f aca="false">"Defeated enemy "&amp;8*($A148-128)+F$1</f>
        <v>Defeated enemy 149</v>
      </c>
      <c r="G148" s="109" t="str">
        <f aca="false">"Defeated enemy "&amp;8*($A148-128)+G$1</f>
        <v>Defeated enemy 148</v>
      </c>
      <c r="H148" s="108" t="str">
        <f aca="false">"Defeated enemy "&amp;8*($A148-128)+H$1</f>
        <v>Defeated enemy 147</v>
      </c>
      <c r="I148" s="109" t="str">
        <f aca="false">"Defeated enemy "&amp;8*($A148-128)+I$1</f>
        <v>Defeated enemy 146</v>
      </c>
      <c r="J148" s="109" t="str">
        <f aca="false">"Defeated enemy "&amp;8*($A148-128)+J$1</f>
        <v>Defeated enemy 145</v>
      </c>
      <c r="K148" s="109" t="str">
        <f aca="false">"Defeated enemy "&amp;8*($A148-128)+K$1</f>
        <v>Defeated enemy 144</v>
      </c>
    </row>
    <row r="149" customFormat="false" ht="13.8" hidden="false" customHeight="false" outlineLevel="0" collapsed="false">
      <c r="A149" s="10" t="n">
        <f aca="false">A148+1</f>
        <v>147</v>
      </c>
      <c r="B149" s="11" t="str">
        <f aca="false">com.sun.star.sheet.addin.Analysis.getDec2Hex(2560+A149)</f>
        <v>A93</v>
      </c>
      <c r="C149" s="12"/>
      <c r="D149" s="108" t="str">
        <f aca="false">"Defeated enemy "&amp;8*($A149-128)+D$1</f>
        <v>Defeated enemy 159</v>
      </c>
      <c r="E149" s="109" t="str">
        <f aca="false">"Defeated enemy "&amp;8*($A149-128)+E$1</f>
        <v>Defeated enemy 158</v>
      </c>
      <c r="F149" s="109" t="str">
        <f aca="false">"Defeated enemy "&amp;8*($A149-128)+F$1</f>
        <v>Defeated enemy 157</v>
      </c>
      <c r="G149" s="109" t="str">
        <f aca="false">"Defeated enemy "&amp;8*($A149-128)+G$1</f>
        <v>Defeated enemy 156</v>
      </c>
      <c r="H149" s="108" t="str">
        <f aca="false">"Defeated enemy "&amp;8*($A149-128)+H$1</f>
        <v>Defeated enemy 155</v>
      </c>
      <c r="I149" s="109" t="str">
        <f aca="false">"Defeated enemy "&amp;8*($A149-128)+I$1</f>
        <v>Defeated enemy 154</v>
      </c>
      <c r="J149" s="109" t="str">
        <f aca="false">"Defeated enemy "&amp;8*($A149-128)+J$1</f>
        <v>Defeated enemy 153</v>
      </c>
      <c r="K149" s="109" t="str">
        <f aca="false">"Defeated enemy "&amp;8*($A149-128)+K$1</f>
        <v>Defeated enemy 152</v>
      </c>
    </row>
    <row r="150" customFormat="false" ht="13.8" hidden="false" customHeight="false" outlineLevel="0" collapsed="false">
      <c r="A150" s="10" t="n">
        <f aca="false">A149+1</f>
        <v>148</v>
      </c>
      <c r="B150" s="11" t="str">
        <f aca="false">com.sun.star.sheet.addin.Analysis.getDec2Hex(2560+A150)</f>
        <v>A94</v>
      </c>
      <c r="C150" s="12"/>
      <c r="D150" s="108" t="str">
        <f aca="false">"Defeated enemy "&amp;8*($A150-128)+D$1</f>
        <v>Defeated enemy 167</v>
      </c>
      <c r="E150" s="109" t="str">
        <f aca="false">"Defeated enemy "&amp;8*($A150-128)+E$1</f>
        <v>Defeated enemy 166</v>
      </c>
      <c r="F150" s="109" t="str">
        <f aca="false">"Defeated enemy "&amp;8*($A150-128)+F$1</f>
        <v>Defeated enemy 165</v>
      </c>
      <c r="G150" s="109" t="str">
        <f aca="false">"Defeated enemy "&amp;8*($A150-128)+G$1</f>
        <v>Defeated enemy 164</v>
      </c>
      <c r="H150" s="108" t="str">
        <f aca="false">"Defeated enemy "&amp;8*($A150-128)+H$1</f>
        <v>Defeated enemy 163</v>
      </c>
      <c r="I150" s="109" t="str">
        <f aca="false">"Defeated enemy "&amp;8*($A150-128)+I$1</f>
        <v>Defeated enemy 162</v>
      </c>
      <c r="J150" s="109" t="str">
        <f aca="false">"Defeated enemy "&amp;8*($A150-128)+J$1</f>
        <v>Defeated enemy 161</v>
      </c>
      <c r="K150" s="109" t="str">
        <f aca="false">"Defeated enemy "&amp;8*($A150-128)+K$1</f>
        <v>Defeated enemy 160</v>
      </c>
    </row>
    <row r="151" customFormat="false" ht="13.8" hidden="false" customHeight="false" outlineLevel="0" collapsed="false">
      <c r="A151" s="10" t="n">
        <f aca="false">A150+1</f>
        <v>149</v>
      </c>
      <c r="B151" s="11" t="str">
        <f aca="false">com.sun.star.sheet.addin.Analysis.getDec2Hex(2560+A151)</f>
        <v>A95</v>
      </c>
      <c r="C151" s="12"/>
      <c r="D151" s="108" t="str">
        <f aca="false">"Defeated enemy "&amp;8*($A151-128)+D$1</f>
        <v>Defeated enemy 175</v>
      </c>
      <c r="E151" s="109" t="str">
        <f aca="false">"Defeated enemy "&amp;8*($A151-128)+E$1</f>
        <v>Defeated enemy 174</v>
      </c>
      <c r="F151" s="109" t="str">
        <f aca="false">"Defeated enemy "&amp;8*($A151-128)+F$1</f>
        <v>Defeated enemy 173</v>
      </c>
      <c r="G151" s="109" t="str">
        <f aca="false">"Defeated enemy "&amp;8*($A151-128)+G$1</f>
        <v>Defeated enemy 172</v>
      </c>
      <c r="H151" s="108" t="str">
        <f aca="false">"Defeated enemy "&amp;8*($A151-128)+H$1</f>
        <v>Defeated enemy 171</v>
      </c>
      <c r="I151" s="109" t="str">
        <f aca="false">"Defeated enemy "&amp;8*($A151-128)+I$1</f>
        <v>Defeated enemy 170</v>
      </c>
      <c r="J151" s="109" t="str">
        <f aca="false">"Defeated enemy "&amp;8*($A151-128)+J$1</f>
        <v>Defeated enemy 169</v>
      </c>
      <c r="K151" s="109" t="str">
        <f aca="false">"Defeated enemy "&amp;8*($A151-128)+K$1</f>
        <v>Defeated enemy 168</v>
      </c>
    </row>
    <row r="152" customFormat="false" ht="13.8" hidden="false" customHeight="false" outlineLevel="0" collapsed="false">
      <c r="A152" s="10" t="n">
        <f aca="false">A151+1</f>
        <v>150</v>
      </c>
      <c r="B152" s="11" t="str">
        <f aca="false">com.sun.star.sheet.addin.Analysis.getDec2Hex(2560+A152)</f>
        <v>A96</v>
      </c>
      <c r="C152" s="12"/>
      <c r="D152" s="108" t="str">
        <f aca="false">"Defeated enemy "&amp;8*($A152-128)+D$1</f>
        <v>Defeated enemy 183</v>
      </c>
      <c r="E152" s="109" t="str">
        <f aca="false">"Defeated enemy "&amp;8*($A152-128)+E$1</f>
        <v>Defeated enemy 182</v>
      </c>
      <c r="F152" s="109" t="str">
        <f aca="false">"Defeated enemy "&amp;8*($A152-128)+F$1</f>
        <v>Defeated enemy 181</v>
      </c>
      <c r="G152" s="109" t="str">
        <f aca="false">"Defeated enemy "&amp;8*($A152-128)+G$1</f>
        <v>Defeated enemy 180</v>
      </c>
      <c r="H152" s="108" t="str">
        <f aca="false">"Defeated enemy "&amp;8*($A152-128)+H$1</f>
        <v>Defeated enemy 179</v>
      </c>
      <c r="I152" s="109" t="str">
        <f aca="false">"Defeated enemy "&amp;8*($A152-128)+I$1</f>
        <v>Defeated enemy 178</v>
      </c>
      <c r="J152" s="109" t="str">
        <f aca="false">"Defeated enemy "&amp;8*($A152-128)+J$1</f>
        <v>Defeated enemy 177</v>
      </c>
      <c r="K152" s="109" t="str">
        <f aca="false">"Defeated enemy "&amp;8*($A152-128)+K$1</f>
        <v>Defeated enemy 176</v>
      </c>
    </row>
    <row r="153" customFormat="false" ht="13.8" hidden="false" customHeight="false" outlineLevel="0" collapsed="false">
      <c r="A153" s="10" t="n">
        <f aca="false">A152+1</f>
        <v>151</v>
      </c>
      <c r="B153" s="11" t="str">
        <f aca="false">com.sun.star.sheet.addin.Analysis.getDec2Hex(2560+A153)</f>
        <v>A97</v>
      </c>
      <c r="C153" s="12"/>
      <c r="D153" s="108" t="str">
        <f aca="false">"Defeated enemy "&amp;8*($A153-128)+D$1</f>
        <v>Defeated enemy 191</v>
      </c>
      <c r="E153" s="109" t="str">
        <f aca="false">"Defeated enemy "&amp;8*($A153-128)+E$1</f>
        <v>Defeated enemy 190</v>
      </c>
      <c r="F153" s="109" t="str">
        <f aca="false">"Defeated enemy "&amp;8*($A153-128)+F$1</f>
        <v>Defeated enemy 189</v>
      </c>
      <c r="G153" s="109" t="str">
        <f aca="false">"Defeated enemy "&amp;8*($A153-128)+G$1</f>
        <v>Defeated enemy 188</v>
      </c>
      <c r="H153" s="108" t="str">
        <f aca="false">"Defeated enemy "&amp;8*($A153-128)+H$1</f>
        <v>Defeated enemy 187</v>
      </c>
      <c r="I153" s="109" t="str">
        <f aca="false">"Defeated enemy "&amp;8*($A153-128)+I$1</f>
        <v>Defeated enemy 186</v>
      </c>
      <c r="J153" s="109" t="str">
        <f aca="false">"Defeated enemy "&amp;8*($A153-128)+J$1</f>
        <v>Defeated enemy 185</v>
      </c>
      <c r="K153" s="109" t="str">
        <f aca="false">"Defeated enemy "&amp;8*($A153-128)+K$1</f>
        <v>Defeated enemy 184</v>
      </c>
    </row>
    <row r="154" customFormat="false" ht="13.8" hidden="false" customHeight="false" outlineLevel="0" collapsed="false">
      <c r="A154" s="10" t="n">
        <f aca="false">A153+1</f>
        <v>152</v>
      </c>
      <c r="B154" s="11" t="str">
        <f aca="false">com.sun.star.sheet.addin.Analysis.getDec2Hex(2560+A154)</f>
        <v>A98</v>
      </c>
      <c r="C154" s="12"/>
      <c r="D154" s="108" t="str">
        <f aca="false">"Defeated enemy "&amp;8*($A154-128)+D$1</f>
        <v>Defeated enemy 199</v>
      </c>
      <c r="E154" s="109" t="str">
        <f aca="false">"Defeated enemy "&amp;8*($A154-128)+E$1</f>
        <v>Defeated enemy 198</v>
      </c>
      <c r="F154" s="109" t="str">
        <f aca="false">"Defeated enemy "&amp;8*($A154-128)+F$1</f>
        <v>Defeated enemy 197</v>
      </c>
      <c r="G154" s="109" t="str">
        <f aca="false">"Defeated enemy "&amp;8*($A154-128)+G$1</f>
        <v>Defeated enemy 196</v>
      </c>
      <c r="H154" s="108" t="str">
        <f aca="false">"Defeated enemy "&amp;8*($A154-128)+H$1</f>
        <v>Defeated enemy 195</v>
      </c>
      <c r="I154" s="109" t="str">
        <f aca="false">"Defeated enemy "&amp;8*($A154-128)+I$1</f>
        <v>Defeated enemy 194</v>
      </c>
      <c r="J154" s="109" t="str">
        <f aca="false">"Defeated enemy "&amp;8*($A154-128)+J$1</f>
        <v>Defeated enemy 193</v>
      </c>
      <c r="K154" s="109" t="str">
        <f aca="false">"Defeated enemy "&amp;8*($A154-128)+K$1</f>
        <v>Defeated enemy 192</v>
      </c>
    </row>
    <row r="155" customFormat="false" ht="13.8" hidden="false" customHeight="false" outlineLevel="0" collapsed="false">
      <c r="A155" s="10" t="n">
        <f aca="false">A154+1</f>
        <v>153</v>
      </c>
      <c r="B155" s="11" t="str">
        <f aca="false">com.sun.star.sheet.addin.Analysis.getDec2Hex(2560+A155)</f>
        <v>A99</v>
      </c>
      <c r="C155" s="12"/>
      <c r="D155" s="108" t="str">
        <f aca="false">"Defeated enemy "&amp;8*($A155-128)+D$1</f>
        <v>Defeated enemy 207</v>
      </c>
      <c r="E155" s="109" t="str">
        <f aca="false">"Defeated enemy "&amp;8*($A155-128)+E$1</f>
        <v>Defeated enemy 206</v>
      </c>
      <c r="F155" s="109" t="str">
        <f aca="false">"Defeated enemy "&amp;8*($A155-128)+F$1</f>
        <v>Defeated enemy 205</v>
      </c>
      <c r="G155" s="109" t="str">
        <f aca="false">"Defeated enemy "&amp;8*($A155-128)+G$1</f>
        <v>Defeated enemy 204</v>
      </c>
      <c r="H155" s="108" t="str">
        <f aca="false">"Defeated enemy "&amp;8*($A155-128)+H$1</f>
        <v>Defeated enemy 203</v>
      </c>
      <c r="I155" s="109" t="str">
        <f aca="false">"Defeated enemy "&amp;8*($A155-128)+I$1</f>
        <v>Defeated enemy 202</v>
      </c>
      <c r="J155" s="109" t="str">
        <f aca="false">"Defeated enemy "&amp;8*($A155-128)+J$1</f>
        <v>Defeated enemy 201</v>
      </c>
      <c r="K155" s="109" t="str">
        <f aca="false">"Defeated enemy "&amp;8*($A155-128)+K$1</f>
        <v>Defeated enemy 200</v>
      </c>
    </row>
    <row r="156" customFormat="false" ht="13.8" hidden="false" customHeight="false" outlineLevel="0" collapsed="false">
      <c r="A156" s="10" t="n">
        <f aca="false">A155+1</f>
        <v>154</v>
      </c>
      <c r="B156" s="11" t="str">
        <f aca="false">com.sun.star.sheet.addin.Analysis.getDec2Hex(2560+A156)</f>
        <v>A9A</v>
      </c>
      <c r="C156" s="12"/>
      <c r="D156" s="108" t="str">
        <f aca="false">"Defeated enemy "&amp;8*($A156-128)+D$1</f>
        <v>Defeated enemy 215</v>
      </c>
      <c r="E156" s="109" t="str">
        <f aca="false">"Defeated enemy "&amp;8*($A156-128)+E$1</f>
        <v>Defeated enemy 214</v>
      </c>
      <c r="F156" s="109" t="str">
        <f aca="false">"Defeated enemy "&amp;8*($A156-128)+F$1</f>
        <v>Defeated enemy 213</v>
      </c>
      <c r="G156" s="109" t="str">
        <f aca="false">"Defeated enemy "&amp;8*($A156-128)+G$1</f>
        <v>Defeated enemy 212</v>
      </c>
      <c r="H156" s="108" t="str">
        <f aca="false">"Defeated enemy "&amp;8*($A156-128)+H$1</f>
        <v>Defeated enemy 211</v>
      </c>
      <c r="I156" s="109" t="str">
        <f aca="false">"Defeated enemy "&amp;8*($A156-128)+I$1</f>
        <v>Defeated enemy 210</v>
      </c>
      <c r="J156" s="109" t="str">
        <f aca="false">"Defeated enemy "&amp;8*($A156-128)+J$1</f>
        <v>Defeated enemy 209</v>
      </c>
      <c r="K156" s="109" t="str">
        <f aca="false">"Defeated enemy "&amp;8*($A156-128)+K$1</f>
        <v>Defeated enemy 208</v>
      </c>
    </row>
    <row r="157" customFormat="false" ht="13.8" hidden="false" customHeight="false" outlineLevel="0" collapsed="false">
      <c r="A157" s="10" t="n">
        <f aca="false">A156+1</f>
        <v>155</v>
      </c>
      <c r="B157" s="11" t="str">
        <f aca="false">com.sun.star.sheet.addin.Analysis.getDec2Hex(2560+A157)</f>
        <v>A9B</v>
      </c>
      <c r="C157" s="12"/>
      <c r="D157" s="108" t="str">
        <f aca="false">"Defeated enemy "&amp;8*($A157-128)+D$1</f>
        <v>Defeated enemy 223</v>
      </c>
      <c r="E157" s="109" t="str">
        <f aca="false">"Defeated enemy "&amp;8*($A157-128)+E$1</f>
        <v>Defeated enemy 222</v>
      </c>
      <c r="F157" s="109" t="str">
        <f aca="false">"Defeated enemy "&amp;8*($A157-128)+F$1</f>
        <v>Defeated enemy 221</v>
      </c>
      <c r="G157" s="109" t="str">
        <f aca="false">"Defeated enemy "&amp;8*($A157-128)+G$1</f>
        <v>Defeated enemy 220</v>
      </c>
      <c r="H157" s="108" t="str">
        <f aca="false">"Defeated enemy "&amp;8*($A157-128)+H$1</f>
        <v>Defeated enemy 219</v>
      </c>
      <c r="I157" s="109" t="str">
        <f aca="false">"Defeated enemy "&amp;8*($A157-128)+I$1</f>
        <v>Defeated enemy 218</v>
      </c>
      <c r="J157" s="109" t="str">
        <f aca="false">"Defeated enemy "&amp;8*($A157-128)+J$1</f>
        <v>Defeated enemy 217</v>
      </c>
      <c r="K157" s="109" t="str">
        <f aca="false">"Defeated enemy "&amp;8*($A157-128)+K$1</f>
        <v>Defeated enemy 216</v>
      </c>
    </row>
    <row r="158" customFormat="false" ht="13.8" hidden="false" customHeight="false" outlineLevel="0" collapsed="false">
      <c r="A158" s="10" t="n">
        <f aca="false">A157+1</f>
        <v>156</v>
      </c>
      <c r="B158" s="11" t="str">
        <f aca="false">com.sun.star.sheet.addin.Analysis.getDec2Hex(2560+A158)</f>
        <v>A9C</v>
      </c>
      <c r="C158" s="12"/>
      <c r="D158" s="108" t="str">
        <f aca="false">"Defeated enemy "&amp;8*($A158-128)+D$1</f>
        <v>Defeated enemy 231</v>
      </c>
      <c r="E158" s="109" t="str">
        <f aca="false">"Defeated enemy "&amp;8*($A158-128)+E$1</f>
        <v>Defeated enemy 230</v>
      </c>
      <c r="F158" s="109" t="str">
        <f aca="false">"Defeated enemy "&amp;8*($A158-128)+F$1</f>
        <v>Defeated enemy 229</v>
      </c>
      <c r="G158" s="109" t="str">
        <f aca="false">"Defeated enemy "&amp;8*($A158-128)+G$1</f>
        <v>Defeated enemy 228</v>
      </c>
      <c r="H158" s="108" t="str">
        <f aca="false">"Defeated enemy "&amp;8*($A158-128)+H$1</f>
        <v>Defeated enemy 227</v>
      </c>
      <c r="I158" s="109" t="str">
        <f aca="false">"Defeated enemy "&amp;8*($A158-128)+I$1</f>
        <v>Defeated enemy 226</v>
      </c>
      <c r="J158" s="109" t="str">
        <f aca="false">"Defeated enemy "&amp;8*($A158-128)+J$1</f>
        <v>Defeated enemy 225</v>
      </c>
      <c r="K158" s="109" t="str">
        <f aca="false">"Defeated enemy "&amp;8*($A158-128)+K$1</f>
        <v>Defeated enemy 224</v>
      </c>
    </row>
    <row r="159" customFormat="false" ht="13.8" hidden="false" customHeight="false" outlineLevel="0" collapsed="false">
      <c r="A159" s="10" t="n">
        <f aca="false">A158+1</f>
        <v>157</v>
      </c>
      <c r="B159" s="11" t="str">
        <f aca="false">com.sun.star.sheet.addin.Analysis.getDec2Hex(2560+A159)</f>
        <v>A9D</v>
      </c>
      <c r="C159" s="12"/>
      <c r="D159" s="108" t="str">
        <f aca="false">"Defeated enemy "&amp;8*($A159-128)+D$1</f>
        <v>Defeated enemy 239</v>
      </c>
      <c r="E159" s="109" t="str">
        <f aca="false">"Defeated enemy "&amp;8*($A159-128)+E$1</f>
        <v>Defeated enemy 238</v>
      </c>
      <c r="F159" s="109" t="str">
        <f aca="false">"Defeated enemy "&amp;8*($A159-128)+F$1</f>
        <v>Defeated enemy 237</v>
      </c>
      <c r="G159" s="109" t="str">
        <f aca="false">"Defeated enemy "&amp;8*($A159-128)+G$1</f>
        <v>Defeated enemy 236</v>
      </c>
      <c r="H159" s="108" t="str">
        <f aca="false">"Defeated enemy "&amp;8*($A159-128)+H$1</f>
        <v>Defeated enemy 235</v>
      </c>
      <c r="I159" s="109" t="str">
        <f aca="false">"Defeated enemy "&amp;8*($A159-128)+I$1</f>
        <v>Defeated enemy 234</v>
      </c>
      <c r="J159" s="109" t="str">
        <f aca="false">"Defeated enemy "&amp;8*($A159-128)+J$1</f>
        <v>Defeated enemy 233</v>
      </c>
      <c r="K159" s="109" t="str">
        <f aca="false">"Defeated enemy "&amp;8*($A159-128)+K$1</f>
        <v>Defeated enemy 232</v>
      </c>
    </row>
    <row r="160" customFormat="false" ht="13.8" hidden="false" customHeight="false" outlineLevel="0" collapsed="false">
      <c r="A160" s="10" t="n">
        <f aca="false">A159+1</f>
        <v>158</v>
      </c>
      <c r="B160" s="11" t="str">
        <f aca="false">com.sun.star.sheet.addin.Analysis.getDec2Hex(2560+A160)</f>
        <v>A9E</v>
      </c>
      <c r="C160" s="12"/>
      <c r="D160" s="108" t="str">
        <f aca="false">"Defeated enemy "&amp;8*($A160-128)+D$1</f>
        <v>Defeated enemy 247</v>
      </c>
      <c r="E160" s="109" t="str">
        <f aca="false">"Defeated enemy "&amp;8*($A160-128)+E$1</f>
        <v>Defeated enemy 246</v>
      </c>
      <c r="F160" s="109" t="str">
        <f aca="false">"Defeated enemy "&amp;8*($A160-128)+F$1</f>
        <v>Defeated enemy 245</v>
      </c>
      <c r="G160" s="109" t="str">
        <f aca="false">"Defeated enemy "&amp;8*($A160-128)+G$1</f>
        <v>Defeated enemy 244</v>
      </c>
      <c r="H160" s="108" t="str">
        <f aca="false">"Defeated enemy "&amp;8*($A160-128)+H$1</f>
        <v>Defeated enemy 243</v>
      </c>
      <c r="I160" s="109" t="str">
        <f aca="false">"Defeated enemy "&amp;8*($A160-128)+I$1</f>
        <v>Defeated enemy 242</v>
      </c>
      <c r="J160" s="109" t="str">
        <f aca="false">"Defeated enemy "&amp;8*($A160-128)+J$1</f>
        <v>Defeated enemy 241</v>
      </c>
      <c r="K160" s="109" t="str">
        <f aca="false">"Defeated enemy "&amp;8*($A160-128)+K$1</f>
        <v>Defeated enemy 240</v>
      </c>
    </row>
    <row r="161" s="62" customFormat="true" ht="13.8" hidden="false" customHeight="false" outlineLevel="0" collapsed="false">
      <c r="A161" s="54" t="n">
        <f aca="false">A160+1</f>
        <v>159</v>
      </c>
      <c r="B161" s="55" t="str">
        <f aca="false">com.sun.star.sheet.addin.Analysis.getDec2Hex(2560+A161)</f>
        <v>A9F</v>
      </c>
      <c r="C161" s="101"/>
      <c r="D161" s="126" t="str">
        <f aca="false">"Defeated enemy "&amp;8*($A161-128)+D$1</f>
        <v>Defeated enemy 255</v>
      </c>
      <c r="E161" s="127" t="str">
        <f aca="false">"Defeated enemy "&amp;8*($A161-128)+E$1</f>
        <v>Defeated enemy 254</v>
      </c>
      <c r="F161" s="127" t="str">
        <f aca="false">"Defeated enemy "&amp;8*($A161-128)+F$1</f>
        <v>Defeated enemy 253</v>
      </c>
      <c r="G161" s="127" t="str">
        <f aca="false">"Defeated enemy "&amp;8*($A161-128)+G$1</f>
        <v>Defeated enemy 252</v>
      </c>
      <c r="H161" s="126" t="str">
        <f aca="false">"Defeated enemy "&amp;8*($A161-128)+H$1</f>
        <v>Defeated enemy 251</v>
      </c>
      <c r="I161" s="127" t="str">
        <f aca="false">"Defeated enemy "&amp;8*($A161-128)+I$1</f>
        <v>Defeated enemy 250</v>
      </c>
      <c r="J161" s="127" t="str">
        <f aca="false">"Defeated enemy "&amp;8*($A161-128)+J$1</f>
        <v>Defeated enemy 249</v>
      </c>
      <c r="K161" s="127" t="str">
        <f aca="false">"Defeated enemy "&amp;8*($A161-128)+K$1</f>
        <v>Defeated enemy 248</v>
      </c>
      <c r="AMH161" s="0"/>
      <c r="AMI161" s="0"/>
      <c r="AMJ161" s="0"/>
    </row>
    <row r="162" customFormat="false" ht="13.8" hidden="false" customHeight="false" outlineLevel="0" collapsed="false">
      <c r="A162" s="63" t="n">
        <f aca="false">A161+1</f>
        <v>160</v>
      </c>
      <c r="B162" s="64" t="str">
        <f aca="false">com.sun.star.sheet.addin.Analysis.getDec2Hex(2560+A162)</f>
        <v>AA0</v>
      </c>
      <c r="C162" s="65" t="s">
        <v>414</v>
      </c>
      <c r="D162" s="92"/>
      <c r="E162" s="63"/>
      <c r="F162" s="63"/>
      <c r="G162" s="109" t="s">
        <v>415</v>
      </c>
      <c r="H162" s="108" t="s">
        <v>416</v>
      </c>
      <c r="I162" s="109" t="s">
        <v>417</v>
      </c>
      <c r="J162" s="109" t="s">
        <v>418</v>
      </c>
      <c r="K162" s="109" t="s">
        <v>419</v>
      </c>
    </row>
    <row r="163" customFormat="false" ht="13.8" hidden="false" customHeight="false" outlineLevel="0" collapsed="false">
      <c r="A163" s="10" t="n">
        <f aca="false">A162+1</f>
        <v>161</v>
      </c>
      <c r="B163" s="11" t="str">
        <f aca="false">com.sun.star.sheet.addin.Analysis.getDec2Hex(2560+A163)</f>
        <v>AA1</v>
      </c>
      <c r="C163" s="12"/>
      <c r="D163" s="96"/>
      <c r="E163" s="10"/>
      <c r="F163" s="10"/>
      <c r="G163" s="99"/>
      <c r="H163" s="96"/>
      <c r="I163" s="10"/>
      <c r="J163" s="10"/>
      <c r="K163" s="99"/>
    </row>
    <row r="164" customFormat="false" ht="13.8" hidden="false" customHeight="false" outlineLevel="0" collapsed="false">
      <c r="A164" s="10" t="n">
        <f aca="false">A163+1</f>
        <v>162</v>
      </c>
      <c r="B164" s="11" t="str">
        <f aca="false">com.sun.star.sheet.addin.Analysis.getDec2Hex(2560+A164)</f>
        <v>AA2</v>
      </c>
      <c r="C164" s="12"/>
      <c r="D164" s="96"/>
      <c r="E164" s="26" t="s">
        <v>420</v>
      </c>
      <c r="F164" s="26" t="s">
        <v>421</v>
      </c>
      <c r="G164" s="25" t="s">
        <v>422</v>
      </c>
      <c r="H164" s="96"/>
      <c r="I164" s="26" t="s">
        <v>423</v>
      </c>
      <c r="J164" s="26" t="s">
        <v>424</v>
      </c>
      <c r="K164" s="25" t="s">
        <v>425</v>
      </c>
    </row>
    <row r="165" customFormat="false" ht="13.8" hidden="false" customHeight="false" outlineLevel="0" collapsed="false">
      <c r="A165" s="10" t="n">
        <f aca="false">A164+1</f>
        <v>163</v>
      </c>
      <c r="B165" s="11" t="str">
        <f aca="false">com.sun.star.sheet.addin.Analysis.getDec2Hex(2560+A165)</f>
        <v>AA3</v>
      </c>
      <c r="C165" s="12"/>
      <c r="D165" s="96"/>
      <c r="E165" s="10"/>
      <c r="F165" s="10"/>
      <c r="G165" s="99"/>
      <c r="H165" s="96"/>
      <c r="I165" s="10"/>
      <c r="J165" s="10"/>
      <c r="K165" s="99"/>
    </row>
    <row r="166" customFormat="false" ht="13.8" hidden="false" customHeight="false" outlineLevel="0" collapsed="false">
      <c r="A166" s="10" t="n">
        <f aca="false">A165+1</f>
        <v>164</v>
      </c>
      <c r="B166" s="11" t="str">
        <f aca="false">com.sun.star.sheet.addin.Analysis.getDec2Hex(2560+A166)</f>
        <v>AA4</v>
      </c>
      <c r="C166" s="12"/>
      <c r="D166" s="96"/>
      <c r="E166" s="10"/>
      <c r="F166" s="10"/>
      <c r="G166" s="99"/>
      <c r="H166" s="96"/>
      <c r="I166" s="10"/>
      <c r="J166" s="10"/>
      <c r="K166" s="99"/>
    </row>
    <row r="167" customFormat="false" ht="13.8" hidden="false" customHeight="false" outlineLevel="0" collapsed="false">
      <c r="A167" s="10" t="n">
        <f aca="false">A166+1</f>
        <v>165</v>
      </c>
      <c r="B167" s="11" t="str">
        <f aca="false">com.sun.star.sheet.addin.Analysis.getDec2Hex(2560+A167)</f>
        <v>AA5</v>
      </c>
      <c r="C167" s="12"/>
      <c r="D167" s="96"/>
      <c r="E167" s="10"/>
      <c r="F167" s="10"/>
      <c r="G167" s="99"/>
      <c r="H167" s="96"/>
      <c r="I167" s="10"/>
      <c r="J167" s="10"/>
      <c r="K167" s="99"/>
    </row>
    <row r="168" customFormat="false" ht="13.8" hidden="false" customHeight="false" outlineLevel="0" collapsed="false">
      <c r="A168" s="10" t="n">
        <f aca="false">A167+1</f>
        <v>166</v>
      </c>
      <c r="B168" s="11" t="str">
        <f aca="false">com.sun.star.sheet.addin.Analysis.getDec2Hex(2560+A168)</f>
        <v>AA6</v>
      </c>
      <c r="C168" s="12"/>
      <c r="D168" s="40" t="s">
        <v>426</v>
      </c>
      <c r="E168" s="40"/>
      <c r="F168" s="40"/>
      <c r="G168" s="40"/>
      <c r="H168" s="40"/>
      <c r="I168" s="40"/>
      <c r="J168" s="40"/>
      <c r="K168" s="40"/>
    </row>
    <row r="169" customFormat="false" ht="13.8" hidden="false" customHeight="false" outlineLevel="0" collapsed="false">
      <c r="A169" s="10" t="n">
        <f aca="false">A168+1</f>
        <v>167</v>
      </c>
      <c r="B169" s="11" t="str">
        <f aca="false">com.sun.star.sheet.addin.Analysis.getDec2Hex(2560+A169)</f>
        <v>AA7</v>
      </c>
      <c r="C169" s="12"/>
      <c r="D169" s="40"/>
      <c r="E169" s="40"/>
      <c r="F169" s="40"/>
      <c r="G169" s="40"/>
      <c r="H169" s="40"/>
      <c r="I169" s="40"/>
      <c r="J169" s="40"/>
      <c r="K169" s="40"/>
    </row>
    <row r="170" customFormat="false" ht="13.8" hidden="false" customHeight="false" outlineLevel="0" collapsed="false">
      <c r="A170" s="10" t="n">
        <f aca="false">A169+1</f>
        <v>168</v>
      </c>
      <c r="B170" s="11" t="str">
        <f aca="false">com.sun.star.sheet.addin.Analysis.getDec2Hex(2560+A170)</f>
        <v>AA8</v>
      </c>
      <c r="C170" s="12"/>
      <c r="D170" s="96"/>
      <c r="E170" s="10"/>
      <c r="F170" s="10"/>
      <c r="G170" s="99"/>
      <c r="H170" s="96"/>
      <c r="I170" s="10"/>
      <c r="J170" s="10"/>
      <c r="K170" s="99"/>
    </row>
    <row r="171" customFormat="false" ht="13.8" hidden="false" customHeight="false" outlineLevel="0" collapsed="false">
      <c r="A171" s="10" t="n">
        <f aca="false">A170+1</f>
        <v>169</v>
      </c>
      <c r="B171" s="11" t="str">
        <f aca="false">com.sun.star.sheet.addin.Analysis.getDec2Hex(2560+A171)</f>
        <v>AA9</v>
      </c>
      <c r="C171" s="12"/>
      <c r="D171" s="96"/>
      <c r="E171" s="10"/>
      <c r="F171" s="10"/>
      <c r="G171" s="99"/>
      <c r="H171" s="96"/>
      <c r="I171" s="10"/>
      <c r="J171" s="10"/>
      <c r="K171" s="99"/>
    </row>
    <row r="172" customFormat="false" ht="13.8" hidden="false" customHeight="false" outlineLevel="0" collapsed="false">
      <c r="A172" s="10" t="n">
        <f aca="false">A171+1</f>
        <v>170</v>
      </c>
      <c r="B172" s="11" t="str">
        <f aca="false">com.sun.star.sheet.addin.Analysis.getDec2Hex(2560+A172)</f>
        <v>AAA</v>
      </c>
      <c r="C172" s="12"/>
      <c r="D172" s="40" t="s">
        <v>427</v>
      </c>
      <c r="E172" s="40"/>
      <c r="F172" s="40"/>
      <c r="G172" s="40"/>
      <c r="H172" s="40"/>
      <c r="I172" s="40"/>
      <c r="J172" s="40"/>
      <c r="K172" s="40"/>
    </row>
    <row r="173" customFormat="false" ht="13.8" hidden="false" customHeight="false" outlineLevel="0" collapsed="false">
      <c r="A173" s="10" t="n">
        <f aca="false">A172+1</f>
        <v>171</v>
      </c>
      <c r="B173" s="11" t="str">
        <f aca="false">com.sun.star.sheet.addin.Analysis.getDec2Hex(2560+A173)</f>
        <v>AAB</v>
      </c>
      <c r="C173" s="12"/>
      <c r="D173" s="40"/>
      <c r="E173" s="40"/>
      <c r="F173" s="40"/>
      <c r="G173" s="40"/>
      <c r="H173" s="40"/>
      <c r="I173" s="40"/>
      <c r="J173" s="40"/>
      <c r="K173" s="40"/>
    </row>
    <row r="174" customFormat="false" ht="13.8" hidden="false" customHeight="false" outlineLevel="0" collapsed="false">
      <c r="A174" s="10" t="n">
        <f aca="false">A173+1</f>
        <v>172</v>
      </c>
      <c r="B174" s="11" t="str">
        <f aca="false">com.sun.star.sheet.addin.Analysis.getDec2Hex(2560+A174)</f>
        <v>AAC</v>
      </c>
      <c r="C174" s="12"/>
      <c r="D174" s="40" t="s">
        <v>428</v>
      </c>
      <c r="E174" s="40"/>
      <c r="F174" s="40"/>
      <c r="G174" s="40"/>
      <c r="H174" s="40"/>
      <c r="I174" s="40"/>
      <c r="J174" s="40"/>
      <c r="K174" s="40"/>
    </row>
    <row r="175" customFormat="false" ht="13.8" hidden="false" customHeight="false" outlineLevel="0" collapsed="false">
      <c r="A175" s="10" t="n">
        <f aca="false">A174+1</f>
        <v>173</v>
      </c>
      <c r="B175" s="11" t="str">
        <f aca="false">com.sun.star.sheet.addin.Analysis.getDec2Hex(2560+A175)</f>
        <v>AAD</v>
      </c>
      <c r="C175" s="12"/>
      <c r="D175" s="40"/>
      <c r="E175" s="40"/>
      <c r="F175" s="40"/>
      <c r="G175" s="40"/>
      <c r="H175" s="40"/>
      <c r="I175" s="40"/>
      <c r="J175" s="40"/>
      <c r="K175" s="40"/>
    </row>
    <row r="176" customFormat="false" ht="13.8" hidden="false" customHeight="false" outlineLevel="0" collapsed="false">
      <c r="A176" s="10" t="n">
        <f aca="false">A175+1</f>
        <v>174</v>
      </c>
      <c r="B176" s="11" t="str">
        <f aca="false">com.sun.star.sheet.addin.Analysis.getDec2Hex(2560+A176)</f>
        <v>AAE</v>
      </c>
      <c r="C176" s="12"/>
      <c r="D176" s="96"/>
      <c r="E176" s="10"/>
      <c r="F176" s="10"/>
      <c r="G176" s="99"/>
      <c r="H176" s="96"/>
      <c r="I176" s="10"/>
      <c r="J176" s="10"/>
      <c r="K176" s="99"/>
    </row>
    <row r="177" s="62" customFormat="true" ht="13.8" hidden="false" customHeight="false" outlineLevel="0" collapsed="false">
      <c r="A177" s="54" t="n">
        <f aca="false">A176+1</f>
        <v>175</v>
      </c>
      <c r="B177" s="55" t="str">
        <f aca="false">com.sun.star.sheet.addin.Analysis.getDec2Hex(2560+A177)</f>
        <v>AAF</v>
      </c>
      <c r="C177" s="101"/>
      <c r="D177" s="102"/>
      <c r="E177" s="54"/>
      <c r="F177" s="54"/>
      <c r="G177" s="103"/>
      <c r="H177" s="102"/>
      <c r="I177" s="54"/>
      <c r="J177" s="54"/>
      <c r="K177" s="103"/>
      <c r="AMH177" s="0"/>
      <c r="AMI177" s="0"/>
      <c r="AMJ177" s="0"/>
    </row>
    <row r="178" customFormat="false" ht="13.8" hidden="false" customHeight="false" outlineLevel="0" collapsed="false">
      <c r="A178" s="63" t="n">
        <f aca="false">A177+1</f>
        <v>176</v>
      </c>
      <c r="B178" s="64" t="str">
        <f aca="false">com.sun.star.sheet.addin.Analysis.getDec2Hex(2560+A178)</f>
        <v>AB0</v>
      </c>
      <c r="C178" s="65"/>
      <c r="D178" s="40" t="s">
        <v>429</v>
      </c>
      <c r="E178" s="40"/>
      <c r="F178" s="40"/>
      <c r="G178" s="40"/>
      <c r="H178" s="40"/>
      <c r="I178" s="40"/>
      <c r="J178" s="40"/>
      <c r="K178" s="40"/>
    </row>
    <row r="179" customFormat="false" ht="13.8" hidden="false" customHeight="false" outlineLevel="0" collapsed="false">
      <c r="A179" s="10" t="n">
        <f aca="false">A178+1</f>
        <v>177</v>
      </c>
      <c r="B179" s="11" t="str">
        <f aca="false">com.sun.star.sheet.addin.Analysis.getDec2Hex(2560+A179)</f>
        <v>AB1</v>
      </c>
      <c r="C179" s="12"/>
      <c r="D179" s="40"/>
      <c r="E179" s="40"/>
      <c r="F179" s="40"/>
      <c r="G179" s="40"/>
      <c r="H179" s="40"/>
      <c r="I179" s="40"/>
      <c r="J179" s="40"/>
      <c r="K179" s="40"/>
    </row>
    <row r="180" customFormat="false" ht="13.8" hidden="false" customHeight="false" outlineLevel="0" collapsed="false">
      <c r="A180" s="10" t="n">
        <f aca="false">A179+1</f>
        <v>178</v>
      </c>
      <c r="B180" s="11" t="str">
        <f aca="false">com.sun.star.sheet.addin.Analysis.getDec2Hex(2560+A180)</f>
        <v>AB2</v>
      </c>
      <c r="C180" s="12"/>
      <c r="D180" s="96"/>
      <c r="E180" s="10"/>
      <c r="F180" s="10"/>
      <c r="G180" s="99"/>
      <c r="H180" s="96"/>
      <c r="I180" s="10"/>
      <c r="J180" s="10"/>
      <c r="K180" s="99"/>
    </row>
    <row r="181" customFormat="false" ht="13.8" hidden="false" customHeight="false" outlineLevel="0" collapsed="false">
      <c r="A181" s="10" t="n">
        <f aca="false">A180+1</f>
        <v>179</v>
      </c>
      <c r="B181" s="11" t="str">
        <f aca="false">com.sun.star.sheet.addin.Analysis.getDec2Hex(2560+A181)</f>
        <v>AB3</v>
      </c>
      <c r="C181" s="12"/>
      <c r="D181" s="96"/>
      <c r="E181" s="10"/>
      <c r="F181" s="10"/>
      <c r="G181" s="99"/>
      <c r="H181" s="96"/>
      <c r="I181" s="10"/>
      <c r="J181" s="10"/>
      <c r="K181" s="99"/>
    </row>
    <row r="182" customFormat="false" ht="13.8" hidden="false" customHeight="false" outlineLevel="0" collapsed="false">
      <c r="A182" s="10" t="n">
        <f aca="false">A181+1</f>
        <v>180</v>
      </c>
      <c r="B182" s="11" t="str">
        <f aca="false">com.sun.star.sheet.addin.Analysis.getDec2Hex(2560+A182)</f>
        <v>AB4</v>
      </c>
      <c r="C182" s="12"/>
      <c r="D182" s="47" t="s">
        <v>430</v>
      </c>
      <c r="E182" s="47"/>
      <c r="F182" s="47"/>
      <c r="G182" s="47"/>
      <c r="H182" s="47"/>
      <c r="I182" s="47"/>
      <c r="J182" s="47"/>
      <c r="K182" s="47"/>
    </row>
    <row r="183" customFormat="false" ht="13.8" hidden="false" customHeight="false" outlineLevel="0" collapsed="false">
      <c r="A183" s="10" t="n">
        <f aca="false">A182+1</f>
        <v>181</v>
      </c>
      <c r="B183" s="11" t="str">
        <f aca="false">com.sun.star.sheet.addin.Analysis.getDec2Hex(2560+A183)</f>
        <v>AB5</v>
      </c>
      <c r="C183" s="12"/>
      <c r="D183" s="47" t="s">
        <v>431</v>
      </c>
      <c r="E183" s="47"/>
      <c r="F183" s="47"/>
      <c r="G183" s="47"/>
      <c r="H183" s="47"/>
      <c r="I183" s="47"/>
      <c r="J183" s="47"/>
      <c r="K183" s="47"/>
    </row>
    <row r="184" customFormat="false" ht="13.8" hidden="false" customHeight="false" outlineLevel="0" collapsed="false">
      <c r="A184" s="10" t="n">
        <f aca="false">A183+1</f>
        <v>182</v>
      </c>
      <c r="B184" s="11" t="str">
        <f aca="false">com.sun.star.sheet.addin.Analysis.getDec2Hex(2560+A184)</f>
        <v>AB6</v>
      </c>
      <c r="C184" s="12"/>
      <c r="D184" s="47" t="s">
        <v>432</v>
      </c>
      <c r="E184" s="47"/>
      <c r="F184" s="47"/>
      <c r="G184" s="47"/>
      <c r="H184" s="47"/>
      <c r="I184" s="47"/>
      <c r="J184" s="47"/>
      <c r="K184" s="47"/>
    </row>
    <row r="185" customFormat="false" ht="13.8" hidden="false" customHeight="false" outlineLevel="0" collapsed="false">
      <c r="A185" s="10" t="n">
        <f aca="false">A184+1</f>
        <v>183</v>
      </c>
      <c r="B185" s="11" t="str">
        <f aca="false">com.sun.star.sheet.addin.Analysis.getDec2Hex(2560+A185)</f>
        <v>AB7</v>
      </c>
      <c r="C185" s="12"/>
      <c r="D185" s="47" t="s">
        <v>433</v>
      </c>
      <c r="E185" s="47"/>
      <c r="F185" s="47"/>
      <c r="G185" s="47"/>
      <c r="H185" s="47"/>
      <c r="I185" s="47"/>
      <c r="J185" s="47"/>
      <c r="K185" s="47"/>
    </row>
    <row r="186" customFormat="false" ht="13.8" hidden="false" customHeight="false" outlineLevel="0" collapsed="false">
      <c r="A186" s="10" t="n">
        <f aca="false">A185+1</f>
        <v>184</v>
      </c>
      <c r="B186" s="11" t="str">
        <f aca="false">com.sun.star.sheet.addin.Analysis.getDec2Hex(2560+A186)</f>
        <v>AB8</v>
      </c>
      <c r="C186" s="12"/>
      <c r="D186" s="47" t="s">
        <v>434</v>
      </c>
      <c r="E186" s="47"/>
      <c r="F186" s="47"/>
      <c r="G186" s="47"/>
      <c r="H186" s="47"/>
      <c r="I186" s="47"/>
      <c r="J186" s="47"/>
      <c r="K186" s="47"/>
    </row>
    <row r="187" customFormat="false" ht="13.8" hidden="false" customHeight="false" outlineLevel="0" collapsed="false">
      <c r="A187" s="10" t="n">
        <f aca="false">A186+1</f>
        <v>185</v>
      </c>
      <c r="B187" s="11" t="str">
        <f aca="false">com.sun.star.sheet.addin.Analysis.getDec2Hex(2560+A187)</f>
        <v>AB9</v>
      </c>
      <c r="C187" s="12"/>
      <c r="D187" s="47" t="s">
        <v>435</v>
      </c>
      <c r="E187" s="47"/>
      <c r="F187" s="47"/>
      <c r="G187" s="47"/>
      <c r="H187" s="47"/>
      <c r="I187" s="47"/>
      <c r="J187" s="47"/>
      <c r="K187" s="47"/>
    </row>
    <row r="188" customFormat="false" ht="13.8" hidden="false" customHeight="false" outlineLevel="0" collapsed="false">
      <c r="A188" s="10" t="n">
        <f aca="false">A187+1</f>
        <v>186</v>
      </c>
      <c r="B188" s="11" t="str">
        <f aca="false">com.sun.star.sheet.addin.Analysis.getDec2Hex(2560+A188)</f>
        <v>ABA</v>
      </c>
      <c r="C188" s="12"/>
      <c r="D188" s="47" t="s">
        <v>436</v>
      </c>
      <c r="E188" s="47"/>
      <c r="F188" s="47"/>
      <c r="G188" s="47"/>
      <c r="H188" s="47"/>
      <c r="I188" s="47"/>
      <c r="J188" s="47"/>
      <c r="K188" s="47"/>
    </row>
    <row r="189" customFormat="false" ht="13.8" hidden="false" customHeight="false" outlineLevel="0" collapsed="false">
      <c r="A189" s="10" t="n">
        <f aca="false">A188+1</f>
        <v>187</v>
      </c>
      <c r="B189" s="11" t="str">
        <f aca="false">com.sun.star.sheet.addin.Analysis.getDec2Hex(2560+A189)</f>
        <v>ABB</v>
      </c>
      <c r="C189" s="12"/>
      <c r="D189" s="47" t="s">
        <v>437</v>
      </c>
      <c r="E189" s="47"/>
      <c r="F189" s="47"/>
      <c r="G189" s="47"/>
      <c r="H189" s="47"/>
      <c r="I189" s="47"/>
      <c r="J189" s="47"/>
      <c r="K189" s="47"/>
    </row>
    <row r="190" customFormat="false" ht="13.8" hidden="false" customHeight="false" outlineLevel="0" collapsed="false">
      <c r="A190" s="10" t="n">
        <f aca="false">A189+1</f>
        <v>188</v>
      </c>
      <c r="B190" s="11" t="str">
        <f aca="false">com.sun.star.sheet.addin.Analysis.getDec2Hex(2560+A190)</f>
        <v>ABC</v>
      </c>
      <c r="C190" s="12"/>
      <c r="D190" s="47" t="s">
        <v>438</v>
      </c>
      <c r="E190" s="47"/>
      <c r="F190" s="47"/>
      <c r="G190" s="47"/>
      <c r="H190" s="47"/>
      <c r="I190" s="47"/>
      <c r="J190" s="47"/>
      <c r="K190" s="47"/>
    </row>
    <row r="191" customFormat="false" ht="13.8" hidden="false" customHeight="false" outlineLevel="0" collapsed="false">
      <c r="A191" s="10" t="n">
        <f aca="false">A190+1</f>
        <v>189</v>
      </c>
      <c r="B191" s="11" t="str">
        <f aca="false">com.sun.star.sheet.addin.Analysis.getDec2Hex(2560+A191)</f>
        <v>ABD</v>
      </c>
      <c r="C191" s="12"/>
      <c r="D191" s="47" t="s">
        <v>439</v>
      </c>
      <c r="E191" s="47"/>
      <c r="F191" s="47"/>
      <c r="G191" s="47"/>
      <c r="H191" s="47"/>
      <c r="I191" s="47"/>
      <c r="J191" s="47"/>
      <c r="K191" s="47"/>
    </row>
    <row r="192" customFormat="false" ht="13.8" hidden="false" customHeight="false" outlineLevel="0" collapsed="false">
      <c r="A192" s="10" t="n">
        <f aca="false">A191+1</f>
        <v>190</v>
      </c>
      <c r="B192" s="11" t="str">
        <f aca="false">com.sun.star.sheet.addin.Analysis.getDec2Hex(2560+A192)</f>
        <v>ABE</v>
      </c>
      <c r="C192" s="12"/>
      <c r="D192" s="47" t="s">
        <v>440</v>
      </c>
      <c r="E192" s="47"/>
      <c r="F192" s="47"/>
      <c r="G192" s="47"/>
      <c r="H192" s="47"/>
      <c r="I192" s="47"/>
      <c r="J192" s="47"/>
      <c r="K192" s="47"/>
    </row>
    <row r="193" s="62" customFormat="true" ht="13.8" hidden="false" customHeight="false" outlineLevel="0" collapsed="false">
      <c r="A193" s="54" t="n">
        <f aca="false">A192+1</f>
        <v>191</v>
      </c>
      <c r="B193" s="55" t="str">
        <f aca="false">com.sun.star.sheet.addin.Analysis.getDec2Hex(2560+A193)</f>
        <v>ABF</v>
      </c>
      <c r="C193" s="101"/>
      <c r="D193" s="128" t="s">
        <v>441</v>
      </c>
      <c r="E193" s="128"/>
      <c r="F193" s="128"/>
      <c r="G193" s="128"/>
      <c r="H193" s="128"/>
      <c r="I193" s="128"/>
      <c r="J193" s="128"/>
      <c r="K193" s="128"/>
      <c r="AMH193" s="0"/>
      <c r="AMI193" s="0"/>
      <c r="AMJ193" s="0"/>
    </row>
    <row r="194" customFormat="false" ht="13.8" hidden="false" customHeight="false" outlineLevel="0" collapsed="false">
      <c r="A194" s="63" t="n">
        <f aca="false">A193+1</f>
        <v>192</v>
      </c>
      <c r="B194" s="64" t="str">
        <f aca="false">com.sun.star.sheet.addin.Analysis.getDec2Hex(2560+A194)</f>
        <v>AC0</v>
      </c>
      <c r="C194" s="65"/>
      <c r="D194" s="40" t="s">
        <v>442</v>
      </c>
      <c r="E194" s="40"/>
      <c r="F194" s="40"/>
      <c r="G194" s="40"/>
      <c r="H194" s="40"/>
      <c r="I194" s="40"/>
      <c r="J194" s="40"/>
      <c r="K194" s="40"/>
    </row>
    <row r="195" customFormat="false" ht="13.8" hidden="false" customHeight="false" outlineLevel="0" collapsed="false">
      <c r="A195" s="10" t="n">
        <f aca="false">A194+1</f>
        <v>193</v>
      </c>
      <c r="B195" s="11" t="str">
        <f aca="false">com.sun.star.sheet.addin.Analysis.getDec2Hex(2560+A195)</f>
        <v>AC1</v>
      </c>
      <c r="C195" s="12"/>
      <c r="D195" s="47" t="s">
        <v>443</v>
      </c>
      <c r="E195" s="47"/>
      <c r="F195" s="47"/>
      <c r="G195" s="47"/>
      <c r="H195" s="47"/>
      <c r="I195" s="47"/>
      <c r="J195" s="47"/>
      <c r="K195" s="47"/>
    </row>
    <row r="196" customFormat="false" ht="13.8" hidden="false" customHeight="false" outlineLevel="0" collapsed="false">
      <c r="A196" s="10" t="n">
        <f aca="false">A195+1</f>
        <v>194</v>
      </c>
      <c r="B196" s="11" t="str">
        <f aca="false">com.sun.star.sheet.addin.Analysis.getDec2Hex(2560+A196)</f>
        <v>AC2</v>
      </c>
      <c r="C196" s="12"/>
      <c r="D196" s="47" t="s">
        <v>444</v>
      </c>
      <c r="E196" s="47"/>
      <c r="F196" s="47"/>
      <c r="G196" s="47"/>
      <c r="H196" s="47"/>
      <c r="I196" s="47"/>
      <c r="J196" s="47"/>
      <c r="K196" s="47"/>
    </row>
    <row r="197" customFormat="false" ht="13.8" hidden="false" customHeight="false" outlineLevel="0" collapsed="false">
      <c r="A197" s="10" t="n">
        <f aca="false">A196+1</f>
        <v>195</v>
      </c>
      <c r="B197" s="11" t="str">
        <f aca="false">com.sun.star.sheet.addin.Analysis.getDec2Hex(2560+A197)</f>
        <v>AC3</v>
      </c>
      <c r="C197" s="12"/>
      <c r="D197" s="47" t="s">
        <v>445</v>
      </c>
      <c r="E197" s="47"/>
      <c r="F197" s="47"/>
      <c r="G197" s="47"/>
      <c r="H197" s="47"/>
      <c r="I197" s="47"/>
      <c r="J197" s="47"/>
      <c r="K197" s="47"/>
    </row>
    <row r="198" customFormat="false" ht="13.8" hidden="false" customHeight="false" outlineLevel="0" collapsed="false">
      <c r="A198" s="10" t="n">
        <f aca="false">A197+1</f>
        <v>196</v>
      </c>
      <c r="B198" s="11" t="str">
        <f aca="false">com.sun.star.sheet.addin.Analysis.getDec2Hex(2560+A198)</f>
        <v>AC4</v>
      </c>
      <c r="C198" s="12"/>
      <c r="D198" s="47" t="s">
        <v>446</v>
      </c>
      <c r="E198" s="47"/>
      <c r="F198" s="47"/>
      <c r="G198" s="47"/>
      <c r="H198" s="47"/>
      <c r="I198" s="47"/>
      <c r="J198" s="47"/>
      <c r="K198" s="47"/>
    </row>
    <row r="199" customFormat="false" ht="13.8" hidden="false" customHeight="false" outlineLevel="0" collapsed="false">
      <c r="A199" s="10" t="n">
        <f aca="false">A198+1</f>
        <v>197</v>
      </c>
      <c r="B199" s="11" t="str">
        <f aca="false">com.sun.star.sheet.addin.Analysis.getDec2Hex(2560+A199)</f>
        <v>AC5</v>
      </c>
      <c r="C199" s="12"/>
      <c r="D199" s="96"/>
      <c r="E199" s="10"/>
      <c r="F199" s="10"/>
      <c r="G199" s="99"/>
      <c r="H199" s="96"/>
      <c r="I199" s="10"/>
      <c r="J199" s="10"/>
      <c r="K199" s="99"/>
    </row>
    <row r="200" customFormat="false" ht="13.8" hidden="false" customHeight="false" outlineLevel="0" collapsed="false">
      <c r="A200" s="10" t="n">
        <f aca="false">A199+1</f>
        <v>198</v>
      </c>
      <c r="B200" s="11" t="str">
        <f aca="false">com.sun.star.sheet.addin.Analysis.getDec2Hex(2560+A200)</f>
        <v>AC6</v>
      </c>
      <c r="C200" s="12"/>
      <c r="D200" s="47" t="s">
        <v>447</v>
      </c>
      <c r="E200" s="47"/>
      <c r="F200" s="47"/>
      <c r="G200" s="47"/>
      <c r="H200" s="47"/>
      <c r="I200" s="47"/>
      <c r="J200" s="47"/>
      <c r="K200" s="47"/>
    </row>
    <row r="201" customFormat="false" ht="13.8" hidden="false" customHeight="false" outlineLevel="0" collapsed="false">
      <c r="A201" s="10" t="n">
        <f aca="false">A200+1</f>
        <v>199</v>
      </c>
      <c r="B201" s="11" t="str">
        <f aca="false">com.sun.star.sheet.addin.Analysis.getDec2Hex(2560+A201)</f>
        <v>AC7</v>
      </c>
      <c r="C201" s="12"/>
      <c r="D201" s="96"/>
      <c r="E201" s="10"/>
      <c r="F201" s="10"/>
      <c r="G201" s="99"/>
      <c r="H201" s="96"/>
      <c r="I201" s="10"/>
      <c r="J201" s="10"/>
      <c r="K201" s="99"/>
    </row>
    <row r="202" customFormat="false" ht="13.8" hidden="false" customHeight="false" outlineLevel="0" collapsed="false">
      <c r="A202" s="10" t="n">
        <f aca="false">A201+1</f>
        <v>200</v>
      </c>
      <c r="B202" s="11" t="str">
        <f aca="false">com.sun.star.sheet.addin.Analysis.getDec2Hex(2560+A202)</f>
        <v>AC8</v>
      </c>
      <c r="C202" s="12"/>
      <c r="D202" s="129"/>
      <c r="E202" s="129"/>
      <c r="F202" s="129"/>
      <c r="G202" s="129"/>
      <c r="H202" s="129"/>
      <c r="I202" s="129"/>
      <c r="J202" s="129"/>
      <c r="K202" s="129"/>
    </row>
    <row r="203" customFormat="false" ht="13.8" hidden="false" customHeight="false" outlineLevel="0" collapsed="false">
      <c r="A203" s="10" t="n">
        <f aca="false">A202+1</f>
        <v>201</v>
      </c>
      <c r="B203" s="11" t="str">
        <f aca="false">com.sun.star.sheet.addin.Analysis.getDec2Hex(2560+A203)</f>
        <v>AC9</v>
      </c>
      <c r="C203" s="12"/>
      <c r="D203" s="96"/>
      <c r="E203" s="10"/>
      <c r="F203" s="10"/>
      <c r="G203" s="99"/>
      <c r="H203" s="96"/>
      <c r="I203" s="10"/>
      <c r="J203" s="10"/>
      <c r="K203" s="99"/>
    </row>
    <row r="204" customFormat="false" ht="13.8" hidden="false" customHeight="false" outlineLevel="0" collapsed="false">
      <c r="A204" s="10" t="n">
        <f aca="false">A203+1</f>
        <v>202</v>
      </c>
      <c r="B204" s="11" t="str">
        <f aca="false">com.sun.star.sheet.addin.Analysis.getDec2Hex(2560+A204)</f>
        <v>ACA</v>
      </c>
      <c r="C204" s="12"/>
      <c r="D204" s="47" t="s">
        <v>448</v>
      </c>
      <c r="E204" s="47"/>
      <c r="F204" s="47"/>
      <c r="G204" s="47"/>
      <c r="H204" s="47"/>
      <c r="I204" s="47"/>
      <c r="J204" s="47"/>
      <c r="K204" s="47"/>
    </row>
    <row r="205" customFormat="false" ht="13.8" hidden="false" customHeight="false" outlineLevel="0" collapsed="false">
      <c r="A205" s="10" t="n">
        <f aca="false">A204+1</f>
        <v>203</v>
      </c>
      <c r="B205" s="11" t="str">
        <f aca="false">com.sun.star.sheet.addin.Analysis.getDec2Hex(2560+A205)</f>
        <v>ACB</v>
      </c>
      <c r="C205" s="12"/>
      <c r="D205" s="96"/>
      <c r="E205" s="10"/>
      <c r="F205" s="10"/>
      <c r="G205" s="99"/>
      <c r="H205" s="96"/>
      <c r="I205" s="10"/>
      <c r="J205" s="10"/>
      <c r="K205" s="99"/>
    </row>
    <row r="206" customFormat="false" ht="13.8" hidden="false" customHeight="false" outlineLevel="0" collapsed="false">
      <c r="A206" s="10" t="n">
        <f aca="false">A205+1</f>
        <v>204</v>
      </c>
      <c r="B206" s="11" t="str">
        <f aca="false">com.sun.star.sheet.addin.Analysis.getDec2Hex(2560+A206)</f>
        <v>ACC</v>
      </c>
      <c r="C206" s="12"/>
      <c r="D206" s="47" t="s">
        <v>448</v>
      </c>
      <c r="E206" s="47"/>
      <c r="F206" s="47"/>
      <c r="G206" s="47"/>
      <c r="H206" s="47"/>
      <c r="I206" s="47"/>
      <c r="J206" s="47"/>
      <c r="K206" s="47"/>
    </row>
    <row r="207" customFormat="false" ht="13.8" hidden="false" customHeight="false" outlineLevel="0" collapsed="false">
      <c r="A207" s="10" t="n">
        <f aca="false">A206+1</f>
        <v>205</v>
      </c>
      <c r="B207" s="11" t="str">
        <f aca="false">com.sun.star.sheet.addin.Analysis.getDec2Hex(2560+A207)</f>
        <v>ACD</v>
      </c>
      <c r="C207" s="12"/>
      <c r="D207" s="96"/>
      <c r="E207" s="10"/>
      <c r="F207" s="10"/>
      <c r="G207" s="99"/>
      <c r="H207" s="96"/>
      <c r="I207" s="10"/>
      <c r="J207" s="10"/>
      <c r="K207" s="99"/>
    </row>
    <row r="208" customFormat="false" ht="13.8" hidden="false" customHeight="false" outlineLevel="0" collapsed="false">
      <c r="A208" s="10" t="n">
        <f aca="false">A207+1</f>
        <v>206</v>
      </c>
      <c r="B208" s="11" t="str">
        <f aca="false">com.sun.star.sheet.addin.Analysis.getDec2Hex(2560+A208)</f>
        <v>ACE</v>
      </c>
      <c r="C208" s="12"/>
      <c r="D208" s="47" t="s">
        <v>449</v>
      </c>
      <c r="E208" s="47"/>
      <c r="F208" s="47"/>
      <c r="G208" s="47"/>
      <c r="H208" s="47"/>
      <c r="I208" s="47"/>
      <c r="J208" s="47"/>
      <c r="K208" s="47"/>
    </row>
    <row r="209" s="62" customFormat="true" ht="13.8" hidden="false" customHeight="false" outlineLevel="0" collapsed="false">
      <c r="A209" s="54" t="n">
        <f aca="false">A208+1</f>
        <v>207</v>
      </c>
      <c r="B209" s="55" t="str">
        <f aca="false">com.sun.star.sheet.addin.Analysis.getDec2Hex(2560+A209)</f>
        <v>ACF</v>
      </c>
      <c r="C209" s="101"/>
      <c r="D209" s="102"/>
      <c r="E209" s="54"/>
      <c r="F209" s="54"/>
      <c r="G209" s="103"/>
      <c r="H209" s="102"/>
      <c r="I209" s="54"/>
      <c r="J209" s="54"/>
      <c r="K209" s="103"/>
      <c r="AMH209" s="0"/>
      <c r="AMI209" s="0"/>
      <c r="AMJ209" s="0"/>
    </row>
    <row r="210" customFormat="false" ht="13.8" hidden="false" customHeight="false" outlineLevel="0" collapsed="false">
      <c r="A210" s="63" t="n">
        <f aca="false">A209+1</f>
        <v>208</v>
      </c>
      <c r="B210" s="64" t="str">
        <f aca="false">com.sun.star.sheet.addin.Analysis.getDec2Hex(2560+A210)</f>
        <v>AD0</v>
      </c>
      <c r="C210" s="65"/>
      <c r="D210" s="40" t="s">
        <v>449</v>
      </c>
      <c r="E210" s="40"/>
      <c r="F210" s="40"/>
      <c r="G210" s="40"/>
      <c r="H210" s="40"/>
      <c r="I210" s="40"/>
      <c r="J210" s="40"/>
      <c r="K210" s="40"/>
    </row>
    <row r="211" customFormat="false" ht="13.8" hidden="false" customHeight="false" outlineLevel="0" collapsed="false">
      <c r="A211" s="10" t="n">
        <f aca="false">A210+1</f>
        <v>209</v>
      </c>
      <c r="B211" s="11" t="str">
        <f aca="false">com.sun.star.sheet.addin.Analysis.getDec2Hex(2560+A211)</f>
        <v>AD1</v>
      </c>
      <c r="C211" s="12"/>
      <c r="D211" s="96"/>
      <c r="E211" s="10"/>
      <c r="F211" s="10"/>
      <c r="G211" s="99"/>
      <c r="H211" s="96"/>
      <c r="I211" s="10"/>
      <c r="J211" s="10"/>
      <c r="K211" s="99"/>
    </row>
    <row r="212" customFormat="false" ht="13.8" hidden="false" customHeight="false" outlineLevel="0" collapsed="false">
      <c r="A212" s="10" t="n">
        <f aca="false">A211+1</f>
        <v>210</v>
      </c>
      <c r="B212" s="11" t="str">
        <f aca="false">com.sun.star.sheet.addin.Analysis.getDec2Hex(2560+A212)</f>
        <v>AD2</v>
      </c>
      <c r="C212" s="12"/>
      <c r="D212" s="96"/>
      <c r="E212" s="10"/>
      <c r="F212" s="10"/>
      <c r="G212" s="99"/>
      <c r="H212" s="96"/>
      <c r="I212" s="10"/>
      <c r="J212" s="10"/>
      <c r="K212" s="99"/>
    </row>
    <row r="213" customFormat="false" ht="13.8" hidden="false" customHeight="false" outlineLevel="0" collapsed="false">
      <c r="A213" s="10" t="n">
        <f aca="false">A212+1</f>
        <v>211</v>
      </c>
      <c r="B213" s="11" t="str">
        <f aca="false">com.sun.star.sheet.addin.Analysis.getDec2Hex(2560+A213)</f>
        <v>AD3</v>
      </c>
      <c r="C213" s="12"/>
      <c r="D213" s="96"/>
      <c r="E213" s="10"/>
      <c r="F213" s="10"/>
      <c r="G213" s="99"/>
      <c r="H213" s="96"/>
      <c r="I213" s="10"/>
      <c r="J213" s="10"/>
      <c r="K213" s="99"/>
    </row>
    <row r="214" customFormat="false" ht="13.8" hidden="false" customHeight="false" outlineLevel="0" collapsed="false">
      <c r="A214" s="10" t="n">
        <f aca="false">A213+1</f>
        <v>212</v>
      </c>
      <c r="B214" s="11" t="str">
        <f aca="false">com.sun.star.sheet.addin.Analysis.getDec2Hex(2560+A214)</f>
        <v>AD4</v>
      </c>
      <c r="C214" s="12"/>
      <c r="D214" s="47" t="s">
        <v>450</v>
      </c>
      <c r="E214" s="47"/>
      <c r="F214" s="47"/>
      <c r="G214" s="47"/>
      <c r="H214" s="47"/>
      <c r="I214" s="47"/>
      <c r="J214" s="47"/>
      <c r="K214" s="47"/>
    </row>
    <row r="215" customFormat="false" ht="13.8" hidden="false" customHeight="false" outlineLevel="0" collapsed="false">
      <c r="A215" s="10" t="n">
        <f aca="false">A214+1</f>
        <v>213</v>
      </c>
      <c r="B215" s="11" t="str">
        <f aca="false">com.sun.star.sheet.addin.Analysis.getDec2Hex(2560+A215)</f>
        <v>AD5</v>
      </c>
      <c r="C215" s="12"/>
      <c r="D215" s="96"/>
      <c r="E215" s="10"/>
      <c r="F215" s="10"/>
      <c r="G215" s="99"/>
      <c r="H215" s="96"/>
      <c r="I215" s="10"/>
      <c r="J215" s="10"/>
      <c r="K215" s="99"/>
    </row>
    <row r="216" customFormat="false" ht="13.8" hidden="false" customHeight="false" outlineLevel="0" collapsed="false">
      <c r="A216" s="10" t="n">
        <f aca="false">A215+1</f>
        <v>214</v>
      </c>
      <c r="B216" s="11" t="str">
        <f aca="false">com.sun.star.sheet.addin.Analysis.getDec2Hex(2560+A216)</f>
        <v>AD6</v>
      </c>
      <c r="C216" s="12"/>
      <c r="D216" s="47" t="s">
        <v>451</v>
      </c>
      <c r="E216" s="47"/>
      <c r="F216" s="47"/>
      <c r="G216" s="47"/>
      <c r="H216" s="47"/>
      <c r="I216" s="47"/>
      <c r="J216" s="47"/>
      <c r="K216" s="47"/>
    </row>
    <row r="217" customFormat="false" ht="13.8" hidden="false" customHeight="false" outlineLevel="0" collapsed="false">
      <c r="A217" s="10" t="n">
        <f aca="false">A216+1</f>
        <v>215</v>
      </c>
      <c r="B217" s="11" t="str">
        <f aca="false">com.sun.star.sheet.addin.Analysis.getDec2Hex(2560+A217)</f>
        <v>AD7</v>
      </c>
      <c r="C217" s="12"/>
      <c r="D217" s="47"/>
      <c r="E217" s="47"/>
      <c r="F217" s="47"/>
      <c r="G217" s="47"/>
      <c r="H217" s="47"/>
      <c r="I217" s="47"/>
      <c r="J217" s="47"/>
      <c r="K217" s="47"/>
    </row>
    <row r="218" customFormat="false" ht="13.8" hidden="false" customHeight="false" outlineLevel="0" collapsed="false">
      <c r="A218" s="10" t="n">
        <f aca="false">A217+1</f>
        <v>216</v>
      </c>
      <c r="B218" s="11" t="str">
        <f aca="false">com.sun.star.sheet.addin.Analysis.getDec2Hex(2560+A218)</f>
        <v>AD8</v>
      </c>
      <c r="C218" s="12"/>
      <c r="D218" s="47" t="s">
        <v>452</v>
      </c>
      <c r="E218" s="47"/>
      <c r="F218" s="47"/>
      <c r="G218" s="47"/>
      <c r="H218" s="47"/>
      <c r="I218" s="47"/>
      <c r="J218" s="47"/>
      <c r="K218" s="47"/>
    </row>
    <row r="219" customFormat="false" ht="13.8" hidden="false" customHeight="false" outlineLevel="0" collapsed="false">
      <c r="A219" s="10" t="n">
        <f aca="false">A218+1</f>
        <v>217</v>
      </c>
      <c r="B219" s="11" t="str">
        <f aca="false">com.sun.star.sheet.addin.Analysis.getDec2Hex(2560+A219)</f>
        <v>AD9</v>
      </c>
      <c r="C219" s="12"/>
      <c r="D219" s="47"/>
      <c r="E219" s="47"/>
      <c r="F219" s="47"/>
      <c r="G219" s="47"/>
      <c r="H219" s="47"/>
      <c r="I219" s="47"/>
      <c r="J219" s="47"/>
      <c r="K219" s="47"/>
    </row>
    <row r="220" customFormat="false" ht="13.8" hidden="false" customHeight="false" outlineLevel="0" collapsed="false">
      <c r="A220" s="10" t="n">
        <f aca="false">A219+1</f>
        <v>218</v>
      </c>
      <c r="B220" s="11" t="str">
        <f aca="false">com.sun.star.sheet.addin.Analysis.getDec2Hex(2560+A220)</f>
        <v>ADA</v>
      </c>
      <c r="C220" s="12"/>
      <c r="D220" s="47" t="s">
        <v>451</v>
      </c>
      <c r="E220" s="47"/>
      <c r="F220" s="47"/>
      <c r="G220" s="47"/>
      <c r="H220" s="47"/>
      <c r="I220" s="47"/>
      <c r="J220" s="47"/>
      <c r="K220" s="47"/>
    </row>
    <row r="221" customFormat="false" ht="13.8" hidden="false" customHeight="false" outlineLevel="0" collapsed="false">
      <c r="A221" s="10" t="n">
        <f aca="false">A220+1</f>
        <v>219</v>
      </c>
      <c r="B221" s="11" t="str">
        <f aca="false">com.sun.star.sheet.addin.Analysis.getDec2Hex(2560+A221)</f>
        <v>ADB</v>
      </c>
      <c r="C221" s="12"/>
      <c r="D221" s="47"/>
      <c r="E221" s="47"/>
      <c r="F221" s="47"/>
      <c r="G221" s="47"/>
      <c r="H221" s="47"/>
      <c r="I221" s="47"/>
      <c r="J221" s="47"/>
      <c r="K221" s="47"/>
    </row>
    <row r="222" customFormat="false" ht="13.8" hidden="false" customHeight="false" outlineLevel="0" collapsed="false">
      <c r="A222" s="10" t="n">
        <f aca="false">A221+1</f>
        <v>220</v>
      </c>
      <c r="B222" s="11" t="str">
        <f aca="false">com.sun.star.sheet.addin.Analysis.getDec2Hex(2560+A222)</f>
        <v>ADC</v>
      </c>
      <c r="C222" s="12"/>
      <c r="D222" s="47" t="s">
        <v>453</v>
      </c>
      <c r="E222" s="47"/>
      <c r="F222" s="47"/>
      <c r="G222" s="47"/>
      <c r="H222" s="47"/>
      <c r="I222" s="47"/>
      <c r="J222" s="47"/>
      <c r="K222" s="47"/>
    </row>
    <row r="223" customFormat="false" ht="13.8" hidden="false" customHeight="false" outlineLevel="0" collapsed="false">
      <c r="A223" s="10" t="n">
        <f aca="false">A222+1</f>
        <v>221</v>
      </c>
      <c r="B223" s="11" t="str">
        <f aca="false">com.sun.star.sheet.addin.Analysis.getDec2Hex(2560+A223)</f>
        <v>ADD</v>
      </c>
      <c r="C223" s="12"/>
      <c r="D223" s="96"/>
      <c r="E223" s="10"/>
      <c r="F223" s="10"/>
      <c r="G223" s="99"/>
      <c r="H223" s="96"/>
      <c r="I223" s="10"/>
      <c r="J223" s="10"/>
      <c r="K223" s="99"/>
    </row>
    <row r="224" customFormat="false" ht="13.8" hidden="false" customHeight="false" outlineLevel="0" collapsed="false">
      <c r="A224" s="10" t="n">
        <f aca="false">A223+1</f>
        <v>222</v>
      </c>
      <c r="B224" s="11" t="str">
        <f aca="false">com.sun.star.sheet.addin.Analysis.getDec2Hex(2560+A224)</f>
        <v>ADE</v>
      </c>
      <c r="C224" s="12"/>
      <c r="D224" s="47" t="s">
        <v>454</v>
      </c>
      <c r="E224" s="47"/>
      <c r="F224" s="47"/>
      <c r="G224" s="47"/>
      <c r="H224" s="47"/>
      <c r="I224" s="47"/>
      <c r="J224" s="47"/>
      <c r="K224" s="47"/>
    </row>
    <row r="225" s="62" customFormat="true" ht="13.8" hidden="false" customHeight="false" outlineLevel="0" collapsed="false">
      <c r="A225" s="54" t="n">
        <f aca="false">A224+1</f>
        <v>223</v>
      </c>
      <c r="B225" s="55" t="str">
        <f aca="false">com.sun.star.sheet.addin.Analysis.getDec2Hex(2560+A225)</f>
        <v>ADF</v>
      </c>
      <c r="C225" s="101"/>
      <c r="D225" s="102"/>
      <c r="E225" s="54"/>
      <c r="F225" s="54"/>
      <c r="G225" s="103"/>
      <c r="H225" s="102"/>
      <c r="I225" s="54"/>
      <c r="J225" s="54"/>
      <c r="K225" s="103"/>
      <c r="AMH225" s="0"/>
      <c r="AMI225" s="0"/>
      <c r="AMJ225" s="0"/>
    </row>
    <row r="226" customFormat="false" ht="13.8" hidden="false" customHeight="false" outlineLevel="0" collapsed="false">
      <c r="A226" s="63" t="n">
        <f aca="false">A225+1</f>
        <v>224</v>
      </c>
      <c r="B226" s="64" t="str">
        <f aca="false">com.sun.star.sheet.addin.Analysis.getDec2Hex(2560+A226)</f>
        <v>AE0</v>
      </c>
      <c r="C226" s="65"/>
      <c r="D226" s="130"/>
      <c r="E226" s="130"/>
      <c r="F226" s="130"/>
      <c r="G226" s="130"/>
      <c r="H226" s="130"/>
      <c r="I226" s="130"/>
      <c r="J226" s="130"/>
      <c r="K226" s="130"/>
    </row>
    <row r="227" customFormat="false" ht="13.8" hidden="false" customHeight="false" outlineLevel="0" collapsed="false">
      <c r="A227" s="10" t="n">
        <f aca="false">A226+1</f>
        <v>225</v>
      </c>
      <c r="B227" s="11" t="str">
        <f aca="false">com.sun.star.sheet.addin.Analysis.getDec2Hex(2560+A227)</f>
        <v>AE1</v>
      </c>
      <c r="C227" s="12"/>
      <c r="D227" s="96"/>
      <c r="E227" s="10"/>
      <c r="F227" s="10"/>
      <c r="G227" s="99"/>
      <c r="H227" s="96"/>
      <c r="I227" s="10"/>
      <c r="J227" s="10"/>
      <c r="K227" s="99"/>
    </row>
    <row r="228" customFormat="false" ht="13.8" hidden="false" customHeight="false" outlineLevel="0" collapsed="false">
      <c r="A228" s="10" t="n">
        <f aca="false">A227+1</f>
        <v>226</v>
      </c>
      <c r="B228" s="11" t="str">
        <f aca="false">com.sun.star.sheet.addin.Analysis.getDec2Hex(2560+A228)</f>
        <v>AE2</v>
      </c>
      <c r="C228" s="12"/>
      <c r="D228" s="96"/>
      <c r="E228" s="10"/>
      <c r="F228" s="10"/>
      <c r="G228" s="99"/>
      <c r="H228" s="96"/>
      <c r="I228" s="10"/>
      <c r="J228" s="10"/>
      <c r="K228" s="99"/>
    </row>
    <row r="229" customFormat="false" ht="13.8" hidden="false" customHeight="false" outlineLevel="0" collapsed="false">
      <c r="A229" s="10" t="n">
        <f aca="false">A228+1</f>
        <v>227</v>
      </c>
      <c r="B229" s="11" t="str">
        <f aca="false">com.sun.star.sheet.addin.Analysis.getDec2Hex(2560+A229)</f>
        <v>AE3</v>
      </c>
      <c r="C229" s="12"/>
      <c r="D229" s="96"/>
      <c r="E229" s="10"/>
      <c r="F229" s="10"/>
      <c r="G229" s="99"/>
      <c r="H229" s="96"/>
      <c r="I229" s="10"/>
      <c r="J229" s="10"/>
      <c r="K229" s="99"/>
    </row>
    <row r="230" customFormat="false" ht="13.8" hidden="false" customHeight="false" outlineLevel="0" collapsed="false">
      <c r="A230" s="10" t="n">
        <f aca="false">A229+1</f>
        <v>228</v>
      </c>
      <c r="B230" s="11" t="str">
        <f aca="false">com.sun.star.sheet.addin.Analysis.getDec2Hex(2560+A230)</f>
        <v>AE4</v>
      </c>
      <c r="C230" s="12"/>
      <c r="D230" s="96"/>
      <c r="E230" s="10"/>
      <c r="F230" s="10"/>
      <c r="G230" s="99"/>
      <c r="H230" s="96"/>
      <c r="I230" s="10"/>
      <c r="J230" s="10"/>
      <c r="K230" s="99"/>
    </row>
    <row r="231" customFormat="false" ht="13.8" hidden="false" customHeight="false" outlineLevel="0" collapsed="false">
      <c r="A231" s="10" t="n">
        <f aca="false">A230+1</f>
        <v>229</v>
      </c>
      <c r="B231" s="11" t="str">
        <f aca="false">com.sun.star.sheet.addin.Analysis.getDec2Hex(2560+A231)</f>
        <v>AE5</v>
      </c>
      <c r="C231" s="12"/>
      <c r="D231" s="96"/>
      <c r="E231" s="10"/>
      <c r="F231" s="10"/>
      <c r="G231" s="99"/>
      <c r="H231" s="96"/>
      <c r="I231" s="10"/>
      <c r="J231" s="10"/>
      <c r="K231" s="99"/>
    </row>
    <row r="232" customFormat="false" ht="13.8" hidden="false" customHeight="false" outlineLevel="0" collapsed="false">
      <c r="A232" s="10" t="n">
        <f aca="false">A231+1</f>
        <v>230</v>
      </c>
      <c r="B232" s="11" t="str">
        <f aca="false">com.sun.star.sheet.addin.Analysis.getDec2Hex(2560+A232)</f>
        <v>AE6</v>
      </c>
      <c r="C232" s="12"/>
      <c r="D232" s="96"/>
      <c r="E232" s="10"/>
      <c r="F232" s="10"/>
      <c r="G232" s="99"/>
      <c r="H232" s="96"/>
      <c r="I232" s="10"/>
      <c r="J232" s="10"/>
      <c r="K232" s="99"/>
    </row>
    <row r="233" customFormat="false" ht="13.8" hidden="false" customHeight="false" outlineLevel="0" collapsed="false">
      <c r="A233" s="10" t="n">
        <f aca="false">A232+1</f>
        <v>231</v>
      </c>
      <c r="B233" s="11" t="str">
        <f aca="false">com.sun.star.sheet.addin.Analysis.getDec2Hex(2560+A233)</f>
        <v>AE7</v>
      </c>
      <c r="C233" s="12"/>
      <c r="D233" s="96"/>
      <c r="E233" s="10"/>
      <c r="F233" s="10"/>
      <c r="G233" s="99"/>
      <c r="H233" s="96"/>
      <c r="I233" s="10"/>
      <c r="J233" s="10"/>
      <c r="K233" s="99"/>
    </row>
    <row r="234" customFormat="false" ht="13.8" hidden="false" customHeight="false" outlineLevel="0" collapsed="false">
      <c r="A234" s="10" t="n">
        <f aca="false">A233+1</f>
        <v>232</v>
      </c>
      <c r="B234" s="11" t="str">
        <f aca="false">com.sun.star.sheet.addin.Analysis.getDec2Hex(2560+A234)</f>
        <v>AE8</v>
      </c>
      <c r="C234" s="12"/>
      <c r="D234" s="96" t="s">
        <v>455</v>
      </c>
      <c r="E234" s="96"/>
      <c r="F234" s="96"/>
      <c r="G234" s="96"/>
      <c r="H234" s="96"/>
      <c r="I234" s="96"/>
      <c r="J234" s="96"/>
      <c r="K234" s="96"/>
    </row>
    <row r="235" customFormat="false" ht="13.8" hidden="false" customHeight="false" outlineLevel="0" collapsed="false">
      <c r="A235" s="10" t="n">
        <f aca="false">A234+1</f>
        <v>233</v>
      </c>
      <c r="B235" s="11" t="str">
        <f aca="false">com.sun.star.sheet.addin.Analysis.getDec2Hex(2560+A235)</f>
        <v>AE9</v>
      </c>
      <c r="C235" s="12"/>
      <c r="D235" s="96"/>
      <c r="E235" s="10"/>
      <c r="F235" s="10"/>
      <c r="G235" s="99"/>
      <c r="H235" s="96"/>
      <c r="I235" s="10"/>
      <c r="J235" s="10"/>
      <c r="K235" s="99"/>
    </row>
    <row r="236" customFormat="false" ht="13.8" hidden="false" customHeight="false" outlineLevel="0" collapsed="false">
      <c r="A236" s="10" t="n">
        <f aca="false">A235+1</f>
        <v>234</v>
      </c>
      <c r="B236" s="11" t="str">
        <f aca="false">com.sun.star.sheet.addin.Analysis.getDec2Hex(2560+A236)</f>
        <v>AEA</v>
      </c>
      <c r="C236" s="12"/>
      <c r="D236" s="96"/>
      <c r="E236" s="10"/>
      <c r="F236" s="10"/>
      <c r="G236" s="99"/>
      <c r="H236" s="96"/>
      <c r="I236" s="10"/>
      <c r="J236" s="10"/>
      <c r="K236" s="99"/>
    </row>
    <row r="237" customFormat="false" ht="13.8" hidden="false" customHeight="false" outlineLevel="0" collapsed="false">
      <c r="A237" s="10" t="n">
        <f aca="false">A236+1</f>
        <v>235</v>
      </c>
      <c r="B237" s="11" t="str">
        <f aca="false">com.sun.star.sheet.addin.Analysis.getDec2Hex(2560+A237)</f>
        <v>AEB</v>
      </c>
      <c r="C237" s="12"/>
      <c r="D237" s="96"/>
      <c r="E237" s="10"/>
      <c r="F237" s="10"/>
      <c r="G237" s="99"/>
      <c r="H237" s="96"/>
      <c r="I237" s="10"/>
      <c r="J237" s="10"/>
      <c r="K237" s="99"/>
    </row>
    <row r="238" customFormat="false" ht="13.8" hidden="false" customHeight="false" outlineLevel="0" collapsed="false">
      <c r="A238" s="10" t="n">
        <f aca="false">A237+1</f>
        <v>236</v>
      </c>
      <c r="B238" s="11" t="str">
        <f aca="false">com.sun.star.sheet.addin.Analysis.getDec2Hex(2560+A238)</f>
        <v>AEC</v>
      </c>
      <c r="C238" s="12"/>
      <c r="D238" s="131" t="s">
        <v>456</v>
      </c>
      <c r="E238" s="131"/>
      <c r="F238" s="131"/>
      <c r="G238" s="131"/>
      <c r="H238" s="131"/>
      <c r="I238" s="131"/>
      <c r="J238" s="131"/>
      <c r="K238" s="131"/>
    </row>
    <row r="239" customFormat="false" ht="13.8" hidden="false" customHeight="false" outlineLevel="0" collapsed="false">
      <c r="A239" s="10" t="n">
        <f aca="false">A238+1</f>
        <v>237</v>
      </c>
      <c r="B239" s="11" t="str">
        <f aca="false">com.sun.star.sheet.addin.Analysis.getDec2Hex(2560+A239)</f>
        <v>AED</v>
      </c>
      <c r="C239" s="12"/>
      <c r="D239" s="131"/>
      <c r="E239" s="131"/>
      <c r="F239" s="131"/>
      <c r="G239" s="131"/>
      <c r="H239" s="131"/>
      <c r="I239" s="131"/>
      <c r="J239" s="131"/>
      <c r="K239" s="131"/>
    </row>
    <row r="240" customFormat="false" ht="13.8" hidden="false" customHeight="false" outlineLevel="0" collapsed="false">
      <c r="A240" s="10" t="n">
        <f aca="false">A239+1</f>
        <v>238</v>
      </c>
      <c r="B240" s="11" t="str">
        <f aca="false">com.sun.star.sheet.addin.Analysis.getDec2Hex(2560+A240)</f>
        <v>AEE</v>
      </c>
      <c r="C240" s="132"/>
      <c r="D240" s="133" t="s">
        <v>457</v>
      </c>
      <c r="E240" s="133"/>
      <c r="F240" s="133"/>
      <c r="G240" s="133"/>
      <c r="H240" s="133"/>
      <c r="I240" s="133"/>
      <c r="J240" s="133"/>
      <c r="K240" s="133"/>
    </row>
    <row r="241" s="62" customFormat="true" ht="13.8" hidden="false" customHeight="false" outlineLevel="0" collapsed="false">
      <c r="A241" s="54" t="n">
        <f aca="false">A240+1</f>
        <v>239</v>
      </c>
      <c r="B241" s="55" t="str">
        <f aca="false">com.sun.star.sheet.addin.Analysis.getDec2Hex(2560+A241)</f>
        <v>AEF</v>
      </c>
      <c r="C241" s="56"/>
      <c r="D241" s="133"/>
      <c r="E241" s="133"/>
      <c r="F241" s="133"/>
      <c r="G241" s="133"/>
      <c r="H241" s="133"/>
      <c r="I241" s="133"/>
      <c r="J241" s="133"/>
      <c r="K241" s="133"/>
      <c r="AMH241" s="0"/>
      <c r="AMI241" s="0"/>
      <c r="AMJ241" s="0"/>
    </row>
    <row r="242" s="139" customFormat="true" ht="13.8" hidden="false" customHeight="false" outlineLevel="0" collapsed="false">
      <c r="A242" s="134" t="n">
        <f aca="false">A241+1</f>
        <v>240</v>
      </c>
      <c r="B242" s="135" t="str">
        <f aca="false">com.sun.star.sheet.addin.Analysis.getDec2Hex(2560+A242)</f>
        <v>AF0</v>
      </c>
      <c r="C242" s="136"/>
      <c r="D242" s="137"/>
      <c r="E242" s="134"/>
      <c r="F242" s="134"/>
      <c r="G242" s="138"/>
      <c r="H242" s="137"/>
      <c r="I242" s="134"/>
      <c r="J242" s="134"/>
      <c r="K242" s="138"/>
      <c r="AMH242" s="0"/>
      <c r="AMI242" s="0"/>
      <c r="AMJ242" s="0"/>
    </row>
    <row r="243" s="139" customFormat="true" ht="13.8" hidden="false" customHeight="false" outlineLevel="0" collapsed="false">
      <c r="A243" s="100" t="n">
        <f aca="false">A242+1</f>
        <v>241</v>
      </c>
      <c r="B243" s="140" t="str">
        <f aca="false">com.sun.star.sheet.addin.Analysis.getDec2Hex(2560+A243)</f>
        <v>AF1</v>
      </c>
      <c r="C243" s="141"/>
      <c r="D243" s="142"/>
      <c r="E243" s="100"/>
      <c r="F243" s="100"/>
      <c r="G243" s="98"/>
      <c r="H243" s="142"/>
      <c r="I243" s="100"/>
      <c r="J243" s="100"/>
      <c r="K243" s="98"/>
      <c r="AMH243" s="0"/>
      <c r="AMI243" s="0"/>
      <c r="AMJ243" s="0"/>
    </row>
    <row r="244" s="139" customFormat="true" ht="13.8" hidden="false" customHeight="false" outlineLevel="0" collapsed="false">
      <c r="A244" s="100" t="n">
        <f aca="false">A243+1</f>
        <v>242</v>
      </c>
      <c r="B244" s="140" t="str">
        <f aca="false">com.sun.star.sheet.addin.Analysis.getDec2Hex(2560+A244)</f>
        <v>AF2</v>
      </c>
      <c r="C244" s="141"/>
      <c r="D244" s="142"/>
      <c r="E244" s="100"/>
      <c r="F244" s="100"/>
      <c r="G244" s="98"/>
      <c r="H244" s="142"/>
      <c r="I244" s="100"/>
      <c r="J244" s="100"/>
      <c r="K244" s="98"/>
      <c r="AMH244" s="0"/>
      <c r="AMI244" s="0"/>
      <c r="AMJ244" s="0"/>
    </row>
    <row r="245" s="139" customFormat="true" ht="13.8" hidden="false" customHeight="false" outlineLevel="0" collapsed="false">
      <c r="A245" s="100" t="n">
        <f aca="false">A244+1</f>
        <v>243</v>
      </c>
      <c r="B245" s="140" t="str">
        <f aca="false">com.sun.star.sheet.addin.Analysis.getDec2Hex(2560+A245)</f>
        <v>AF3</v>
      </c>
      <c r="C245" s="141"/>
      <c r="D245" s="142"/>
      <c r="E245" s="100"/>
      <c r="F245" s="100"/>
      <c r="G245" s="98"/>
      <c r="H245" s="142"/>
      <c r="I245" s="100"/>
      <c r="J245" s="100"/>
      <c r="K245" s="98"/>
      <c r="AMH245" s="0"/>
      <c r="AMI245" s="0"/>
      <c r="AMJ245" s="0"/>
    </row>
    <row r="246" s="139" customFormat="true" ht="13.8" hidden="false" customHeight="false" outlineLevel="0" collapsed="false">
      <c r="A246" s="100" t="n">
        <f aca="false">A245+1</f>
        <v>244</v>
      </c>
      <c r="B246" s="140" t="str">
        <f aca="false">com.sun.star.sheet.addin.Analysis.getDec2Hex(2560+A246)</f>
        <v>AF4</v>
      </c>
      <c r="C246" s="141"/>
      <c r="D246" s="142"/>
      <c r="E246" s="100"/>
      <c r="F246" s="100"/>
      <c r="G246" s="98"/>
      <c r="H246" s="142"/>
      <c r="I246" s="100"/>
      <c r="J246" s="100"/>
      <c r="K246" s="98"/>
      <c r="AMH246" s="0"/>
      <c r="AMI246" s="0"/>
      <c r="AMJ246" s="0"/>
    </row>
    <row r="247" s="139" customFormat="true" ht="13.8" hidden="false" customHeight="false" outlineLevel="0" collapsed="false">
      <c r="A247" s="100" t="n">
        <f aca="false">A246+1</f>
        <v>245</v>
      </c>
      <c r="B247" s="140" t="str">
        <f aca="false">com.sun.star.sheet.addin.Analysis.getDec2Hex(2560+A247)</f>
        <v>AF5</v>
      </c>
      <c r="C247" s="141"/>
      <c r="D247" s="142"/>
      <c r="E247" s="100"/>
      <c r="F247" s="100"/>
      <c r="G247" s="98"/>
      <c r="H247" s="142"/>
      <c r="I247" s="100"/>
      <c r="J247" s="100"/>
      <c r="K247" s="98"/>
      <c r="AMH247" s="0"/>
      <c r="AMI247" s="0"/>
      <c r="AMJ247" s="0"/>
    </row>
    <row r="248" s="139" customFormat="true" ht="13.8" hidden="false" customHeight="false" outlineLevel="0" collapsed="false">
      <c r="A248" s="100" t="n">
        <f aca="false">A247+1</f>
        <v>246</v>
      </c>
      <c r="B248" s="140" t="str">
        <f aca="false">com.sun.star.sheet.addin.Analysis.getDec2Hex(2560+A248)</f>
        <v>AF6</v>
      </c>
      <c r="C248" s="141"/>
      <c r="D248" s="142"/>
      <c r="E248" s="100"/>
      <c r="F248" s="100"/>
      <c r="G248" s="98"/>
      <c r="H248" s="142"/>
      <c r="I248" s="100"/>
      <c r="J248" s="100"/>
      <c r="K248" s="98"/>
      <c r="AMH248" s="0"/>
      <c r="AMI248" s="0"/>
      <c r="AMJ248" s="0"/>
    </row>
    <row r="249" s="139" customFormat="true" ht="13.8" hidden="false" customHeight="false" outlineLevel="0" collapsed="false">
      <c r="A249" s="100" t="n">
        <f aca="false">A248+1</f>
        <v>247</v>
      </c>
      <c r="B249" s="140" t="str">
        <f aca="false">com.sun.star.sheet.addin.Analysis.getDec2Hex(2560+A249)</f>
        <v>AF7</v>
      </c>
      <c r="C249" s="141"/>
      <c r="D249" s="142"/>
      <c r="E249" s="100"/>
      <c r="F249" s="100"/>
      <c r="G249" s="98"/>
      <c r="H249" s="142"/>
      <c r="I249" s="100"/>
      <c r="J249" s="100"/>
      <c r="K249" s="98"/>
      <c r="AMH249" s="0"/>
      <c r="AMI249" s="0"/>
      <c r="AMJ249" s="0"/>
    </row>
    <row r="250" customFormat="false" ht="13.8" hidden="false" customHeight="false" outlineLevel="0" collapsed="false">
      <c r="A250" s="10" t="n">
        <f aca="false">A249+1</f>
        <v>248</v>
      </c>
      <c r="B250" s="11" t="str">
        <f aca="false">com.sun.star.sheet.addin.Analysis.getDec2Hex(2560+A250)</f>
        <v>AF8</v>
      </c>
      <c r="C250" s="12"/>
      <c r="D250" s="143"/>
      <c r="E250" s="143"/>
      <c r="F250" s="143"/>
      <c r="G250" s="143"/>
      <c r="H250" s="143"/>
      <c r="I250" s="143"/>
      <c r="J250" s="143"/>
      <c r="K250" s="143"/>
    </row>
    <row r="251" customFormat="false" ht="13.8" hidden="false" customHeight="false" outlineLevel="0" collapsed="false">
      <c r="A251" s="10" t="n">
        <f aca="false">A250+1</f>
        <v>249</v>
      </c>
      <c r="B251" s="11" t="str">
        <f aca="false">com.sun.star.sheet.addin.Analysis.getDec2Hex(2560+A251)</f>
        <v>AF9</v>
      </c>
      <c r="C251" s="12"/>
      <c r="D251" s="96"/>
      <c r="E251" s="10"/>
      <c r="F251" s="10"/>
      <c r="G251" s="99"/>
      <c r="H251" s="96"/>
      <c r="I251" s="10"/>
      <c r="J251" s="10"/>
      <c r="K251" s="99"/>
    </row>
    <row r="252" customFormat="false" ht="13.8" hidden="false" customHeight="false" outlineLevel="0" collapsed="false">
      <c r="A252" s="10" t="n">
        <f aca="false">A251+1</f>
        <v>250</v>
      </c>
      <c r="B252" s="11" t="str">
        <f aca="false">com.sun.star.sheet.addin.Analysis.getDec2Hex(2560+A252)</f>
        <v>AFA</v>
      </c>
      <c r="C252" s="12"/>
      <c r="D252" s="96"/>
      <c r="E252" s="10"/>
      <c r="F252" s="10"/>
      <c r="G252" s="99"/>
      <c r="H252" s="96"/>
      <c r="I252" s="10"/>
      <c r="J252" s="10"/>
      <c r="K252" s="99"/>
    </row>
    <row r="253" customFormat="false" ht="13.8" hidden="false" customHeight="false" outlineLevel="0" collapsed="false">
      <c r="A253" s="10" t="n">
        <f aca="false">A252+1</f>
        <v>251</v>
      </c>
      <c r="B253" s="11" t="str">
        <f aca="false">com.sun.star.sheet.addin.Analysis.getDec2Hex(2560+A253)</f>
        <v>AFB</v>
      </c>
      <c r="C253" s="12"/>
      <c r="D253" s="96"/>
      <c r="E253" s="10"/>
      <c r="F253" s="10"/>
      <c r="G253" s="99"/>
      <c r="H253" s="96"/>
      <c r="I253" s="10"/>
      <c r="J253" s="10"/>
      <c r="K253" s="99"/>
    </row>
    <row r="254" customFormat="false" ht="13.8" hidden="false" customHeight="false" outlineLevel="0" collapsed="false">
      <c r="A254" s="10" t="n">
        <f aca="false">A253+1</f>
        <v>252</v>
      </c>
      <c r="B254" s="11" t="str">
        <f aca="false">com.sun.star.sheet.addin.Analysis.getDec2Hex(2560+A254)</f>
        <v>AFC</v>
      </c>
      <c r="C254" s="12"/>
      <c r="D254" s="96"/>
      <c r="E254" s="10"/>
      <c r="F254" s="10"/>
      <c r="G254" s="99"/>
      <c r="H254" s="96"/>
      <c r="I254" s="10"/>
      <c r="J254" s="10"/>
      <c r="K254" s="99"/>
    </row>
    <row r="255" customFormat="false" ht="13.8" hidden="false" customHeight="false" outlineLevel="0" collapsed="false">
      <c r="A255" s="10" t="n">
        <f aca="false">A254+1</f>
        <v>253</v>
      </c>
      <c r="B255" s="11" t="str">
        <f aca="false">com.sun.star.sheet.addin.Analysis.getDec2Hex(2560+A255)</f>
        <v>AFD</v>
      </c>
      <c r="C255" s="12"/>
      <c r="D255" s="96"/>
      <c r="E255" s="10"/>
      <c r="F255" s="10"/>
      <c r="G255" s="99"/>
      <c r="H255" s="96"/>
      <c r="I255" s="10"/>
      <c r="J255" s="10"/>
      <c r="K255" s="99"/>
    </row>
    <row r="256" customFormat="false" ht="13.8" hidden="false" customHeight="false" outlineLevel="0" collapsed="false">
      <c r="A256" s="10" t="n">
        <f aca="false">A255+1</f>
        <v>254</v>
      </c>
      <c r="B256" s="11" t="str">
        <f aca="false">com.sun.star.sheet.addin.Analysis.getDec2Hex(2560+A256)</f>
        <v>AFE</v>
      </c>
      <c r="C256" s="12"/>
      <c r="D256" s="96"/>
      <c r="E256" s="10"/>
      <c r="F256" s="10"/>
      <c r="G256" s="99"/>
      <c r="H256" s="96"/>
      <c r="I256" s="10"/>
      <c r="J256" s="10"/>
      <c r="K256" s="99"/>
    </row>
    <row r="257" s="62" customFormat="true" ht="13.8" hidden="false" customHeight="false" outlineLevel="0" collapsed="false">
      <c r="A257" s="54" t="n">
        <f aca="false">A256+1</f>
        <v>255</v>
      </c>
      <c r="B257" s="55" t="str">
        <f aca="false">com.sun.star.sheet.addin.Analysis.getDec2Hex(2560+A257)</f>
        <v>AFF</v>
      </c>
      <c r="C257" s="101"/>
      <c r="D257" s="102"/>
      <c r="E257" s="54"/>
      <c r="F257" s="54"/>
      <c r="G257" s="103"/>
      <c r="H257" s="102"/>
      <c r="I257" s="54"/>
      <c r="J257" s="54"/>
      <c r="K257" s="103"/>
      <c r="AMH257" s="0"/>
      <c r="AMI257" s="0"/>
      <c r="AMJ257" s="0"/>
    </row>
    <row r="258" customFormat="false" ht="13.8" hidden="false" customHeight="false" outlineLevel="0" collapsed="false">
      <c r="A258" s="63" t="n">
        <f aca="false">A257+1</f>
        <v>256</v>
      </c>
      <c r="B258" s="64" t="str">
        <f aca="false">com.sun.star.sheet.addin.Analysis.getDec2Hex(2560+A258)</f>
        <v>B00</v>
      </c>
      <c r="C258" s="65"/>
      <c r="D258" s="92"/>
      <c r="E258" s="63"/>
      <c r="F258" s="63"/>
      <c r="G258" s="95"/>
      <c r="H258" s="92"/>
      <c r="I258" s="63"/>
      <c r="J258" s="63"/>
      <c r="K258" s="95"/>
    </row>
    <row r="259" customFormat="false" ht="13.8" hidden="false" customHeight="false" outlineLevel="0" collapsed="false">
      <c r="A259" s="10" t="n">
        <f aca="false">A258+1</f>
        <v>257</v>
      </c>
      <c r="B259" s="11" t="str">
        <f aca="false">com.sun.star.sheet.addin.Analysis.getDec2Hex(2560+A259)</f>
        <v>B01</v>
      </c>
      <c r="C259" s="12"/>
      <c r="D259" s="96"/>
      <c r="E259" s="10"/>
      <c r="F259" s="10"/>
      <c r="G259" s="99"/>
      <c r="H259" s="96"/>
      <c r="I259" s="10"/>
      <c r="J259" s="10"/>
      <c r="K259" s="99"/>
    </row>
    <row r="260" customFormat="false" ht="13.8" hidden="false" customHeight="false" outlineLevel="0" collapsed="false">
      <c r="A260" s="10" t="n">
        <f aca="false">A259+1</f>
        <v>258</v>
      </c>
      <c r="B260" s="11" t="str">
        <f aca="false">com.sun.star.sheet.addin.Analysis.getDec2Hex(2560+A260)</f>
        <v>B02</v>
      </c>
      <c r="C260" s="12"/>
      <c r="D260" s="96"/>
      <c r="E260" s="10"/>
      <c r="F260" s="10"/>
      <c r="G260" s="99"/>
      <c r="H260" s="96"/>
      <c r="I260" s="10"/>
      <c r="J260" s="10"/>
      <c r="K260" s="99"/>
    </row>
    <row r="261" customFormat="false" ht="13.8" hidden="false" customHeight="false" outlineLevel="0" collapsed="false">
      <c r="A261" s="10" t="n">
        <f aca="false">A260+1</f>
        <v>259</v>
      </c>
      <c r="B261" s="11" t="str">
        <f aca="false">com.sun.star.sheet.addin.Analysis.getDec2Hex(2560+A261)</f>
        <v>B03</v>
      </c>
      <c r="C261" s="12"/>
      <c r="D261" s="96"/>
      <c r="E261" s="10"/>
      <c r="F261" s="10"/>
      <c r="G261" s="99"/>
      <c r="H261" s="96"/>
      <c r="I261" s="10"/>
      <c r="J261" s="10"/>
      <c r="K261" s="99"/>
    </row>
    <row r="262" customFormat="false" ht="13.8" hidden="false" customHeight="false" outlineLevel="0" collapsed="false">
      <c r="A262" s="10" t="n">
        <f aca="false">A261+1</f>
        <v>260</v>
      </c>
      <c r="B262" s="11" t="str">
        <f aca="false">com.sun.star.sheet.addin.Analysis.getDec2Hex(2560+A262)</f>
        <v>B04</v>
      </c>
      <c r="C262" s="12"/>
      <c r="D262" s="96"/>
      <c r="E262" s="10"/>
      <c r="F262" s="10"/>
      <c r="G262" s="99"/>
      <c r="H262" s="96"/>
      <c r="I262" s="10"/>
      <c r="J262" s="10"/>
      <c r="K262" s="99"/>
    </row>
    <row r="263" customFormat="false" ht="13.8" hidden="false" customHeight="false" outlineLevel="0" collapsed="false">
      <c r="A263" s="10" t="n">
        <f aca="false">A262+1</f>
        <v>261</v>
      </c>
      <c r="B263" s="11" t="str">
        <f aca="false">com.sun.star.sheet.addin.Analysis.getDec2Hex(2560+A263)</f>
        <v>B05</v>
      </c>
      <c r="C263" s="12"/>
      <c r="D263" s="96"/>
      <c r="E263" s="10"/>
      <c r="F263" s="10"/>
      <c r="G263" s="99"/>
      <c r="H263" s="96"/>
      <c r="I263" s="10"/>
      <c r="J263" s="10"/>
      <c r="K263" s="99"/>
    </row>
    <row r="264" customFormat="false" ht="13.8" hidden="false" customHeight="false" outlineLevel="0" collapsed="false">
      <c r="A264" s="10" t="n">
        <f aca="false">A263+1</f>
        <v>262</v>
      </c>
      <c r="B264" s="11" t="str">
        <f aca="false">com.sun.star.sheet.addin.Analysis.getDec2Hex(2560+A264)</f>
        <v>B06</v>
      </c>
      <c r="C264" s="12"/>
      <c r="D264" s="96"/>
      <c r="E264" s="10"/>
      <c r="F264" s="10"/>
      <c r="G264" s="99"/>
      <c r="H264" s="96"/>
      <c r="I264" s="10"/>
      <c r="J264" s="10"/>
      <c r="K264" s="99"/>
    </row>
    <row r="265" customFormat="false" ht="13.8" hidden="false" customHeight="false" outlineLevel="0" collapsed="false">
      <c r="A265" s="10" t="n">
        <f aca="false">A264+1</f>
        <v>263</v>
      </c>
      <c r="B265" s="11" t="str">
        <f aca="false">com.sun.star.sheet.addin.Analysis.getDec2Hex(2560+A265)</f>
        <v>B07</v>
      </c>
      <c r="C265" s="12"/>
      <c r="D265" s="96"/>
      <c r="E265" s="10"/>
      <c r="F265" s="10"/>
      <c r="G265" s="99"/>
      <c r="H265" s="96"/>
      <c r="I265" s="10"/>
      <c r="J265" s="10"/>
      <c r="K265" s="99"/>
    </row>
    <row r="266" customFormat="false" ht="13.8" hidden="false" customHeight="false" outlineLevel="0" collapsed="false">
      <c r="A266" s="10" t="n">
        <f aca="false">A265+1</f>
        <v>264</v>
      </c>
      <c r="B266" s="11" t="str">
        <f aca="false">com.sun.star.sheet.addin.Analysis.getDec2Hex(2560+A266)</f>
        <v>B08</v>
      </c>
      <c r="C266" s="12"/>
      <c r="D266" s="96"/>
      <c r="E266" s="10"/>
      <c r="F266" s="10"/>
      <c r="G266" s="99"/>
      <c r="H266" s="96"/>
      <c r="I266" s="10"/>
      <c r="J266" s="10"/>
      <c r="K266" s="99"/>
    </row>
    <row r="267" customFormat="false" ht="13.8" hidden="false" customHeight="false" outlineLevel="0" collapsed="false">
      <c r="A267" s="10" t="n">
        <f aca="false">A266+1</f>
        <v>265</v>
      </c>
      <c r="B267" s="11" t="str">
        <f aca="false">com.sun.star.sheet.addin.Analysis.getDec2Hex(2560+A267)</f>
        <v>B09</v>
      </c>
      <c r="C267" s="12"/>
      <c r="D267" s="96"/>
      <c r="E267" s="10"/>
      <c r="F267" s="10"/>
      <c r="G267" s="99"/>
      <c r="H267" s="96"/>
      <c r="I267" s="10"/>
      <c r="J267" s="10"/>
      <c r="K267" s="99"/>
    </row>
    <row r="268" customFormat="false" ht="13.8" hidden="false" customHeight="false" outlineLevel="0" collapsed="false">
      <c r="A268" s="10" t="n">
        <f aca="false">A267+1</f>
        <v>266</v>
      </c>
      <c r="B268" s="11" t="str">
        <f aca="false">com.sun.star.sheet.addin.Analysis.getDec2Hex(2560+A268)</f>
        <v>B0A</v>
      </c>
      <c r="C268" s="12"/>
      <c r="D268" s="96"/>
      <c r="E268" s="10"/>
      <c r="F268" s="10"/>
      <c r="G268" s="99"/>
      <c r="H268" s="96"/>
      <c r="I268" s="10"/>
      <c r="J268" s="10"/>
      <c r="K268" s="99"/>
    </row>
    <row r="269" customFormat="false" ht="13.8" hidden="false" customHeight="false" outlineLevel="0" collapsed="false">
      <c r="A269" s="10" t="n">
        <f aca="false">A268+1</f>
        <v>267</v>
      </c>
      <c r="B269" s="11" t="str">
        <f aca="false">com.sun.star.sheet.addin.Analysis.getDec2Hex(2560+A269)</f>
        <v>B0B</v>
      </c>
      <c r="C269" s="12"/>
      <c r="D269" s="96"/>
      <c r="E269" s="10"/>
      <c r="F269" s="10"/>
      <c r="G269" s="99"/>
      <c r="H269" s="96"/>
      <c r="I269" s="10"/>
      <c r="J269" s="10"/>
      <c r="K269" s="99"/>
    </row>
    <row r="270" customFormat="false" ht="13.8" hidden="false" customHeight="false" outlineLevel="0" collapsed="false">
      <c r="A270" s="10" t="n">
        <f aca="false">A269+1</f>
        <v>268</v>
      </c>
      <c r="B270" s="11" t="str">
        <f aca="false">com.sun.star.sheet.addin.Analysis.getDec2Hex(2560+A270)</f>
        <v>B0C</v>
      </c>
      <c r="C270" s="12"/>
      <c r="D270" s="96"/>
      <c r="E270" s="10"/>
      <c r="F270" s="10"/>
      <c r="G270" s="99"/>
      <c r="H270" s="96"/>
      <c r="I270" s="10"/>
      <c r="J270" s="10"/>
      <c r="K270" s="99"/>
    </row>
    <row r="271" customFormat="false" ht="13.8" hidden="false" customHeight="false" outlineLevel="0" collapsed="false">
      <c r="A271" s="10" t="n">
        <f aca="false">A270+1</f>
        <v>269</v>
      </c>
      <c r="B271" s="11" t="str">
        <f aca="false">com.sun.star.sheet.addin.Analysis.getDec2Hex(2560+A271)</f>
        <v>B0D</v>
      </c>
      <c r="C271" s="12"/>
      <c r="D271" s="96"/>
      <c r="E271" s="10"/>
      <c r="F271" s="10"/>
      <c r="G271" s="99"/>
      <c r="H271" s="96"/>
      <c r="I271" s="10"/>
      <c r="J271" s="10"/>
      <c r="K271" s="99"/>
    </row>
    <row r="272" customFormat="false" ht="13.8" hidden="false" customHeight="false" outlineLevel="0" collapsed="false">
      <c r="A272" s="10" t="n">
        <f aca="false">A271+1</f>
        <v>270</v>
      </c>
      <c r="B272" s="11" t="str">
        <f aca="false">com.sun.star.sheet.addin.Analysis.getDec2Hex(2560+A272)</f>
        <v>B0E</v>
      </c>
      <c r="C272" s="12"/>
      <c r="D272" s="96"/>
      <c r="E272" s="10"/>
      <c r="F272" s="10"/>
      <c r="G272" s="99"/>
      <c r="H272" s="96"/>
      <c r="I272" s="10"/>
      <c r="J272" s="10"/>
      <c r="K272" s="99"/>
    </row>
    <row r="273" s="62" customFormat="true" ht="13.8" hidden="false" customHeight="false" outlineLevel="0" collapsed="false">
      <c r="A273" s="54" t="n">
        <f aca="false">A272+1</f>
        <v>271</v>
      </c>
      <c r="B273" s="55" t="str">
        <f aca="false">com.sun.star.sheet.addin.Analysis.getDec2Hex(2560+A273)</f>
        <v>B0F</v>
      </c>
      <c r="C273" s="101"/>
      <c r="D273" s="102"/>
      <c r="E273" s="54"/>
      <c r="F273" s="54"/>
      <c r="G273" s="103"/>
      <c r="H273" s="102"/>
      <c r="I273" s="54"/>
      <c r="J273" s="54"/>
      <c r="K273" s="103"/>
      <c r="AMH273" s="0"/>
      <c r="AMI273" s="0"/>
      <c r="AMJ273" s="0"/>
    </row>
    <row r="274" customFormat="false" ht="13.8" hidden="false" customHeight="false" outlineLevel="0" collapsed="false">
      <c r="A274" s="63" t="n">
        <f aca="false">A273+1</f>
        <v>272</v>
      </c>
      <c r="B274" s="64" t="str">
        <f aca="false">com.sun.star.sheet.addin.Analysis.getDec2Hex(2560+A274)</f>
        <v>B10</v>
      </c>
      <c r="C274" s="65"/>
      <c r="D274" s="92"/>
      <c r="E274" s="63"/>
      <c r="F274" s="63"/>
      <c r="G274" s="95"/>
      <c r="H274" s="92"/>
      <c r="I274" s="63"/>
      <c r="J274" s="63"/>
      <c r="K274" s="95"/>
    </row>
    <row r="275" customFormat="false" ht="13.8" hidden="false" customHeight="false" outlineLevel="0" collapsed="false">
      <c r="A275" s="10" t="n">
        <f aca="false">A274+1</f>
        <v>273</v>
      </c>
      <c r="B275" s="11" t="str">
        <f aca="false">com.sun.star.sheet.addin.Analysis.getDec2Hex(2560+A275)</f>
        <v>B11</v>
      </c>
      <c r="C275" s="12"/>
      <c r="D275" s="96"/>
      <c r="E275" s="10"/>
      <c r="F275" s="10"/>
      <c r="G275" s="99"/>
      <c r="H275" s="96"/>
      <c r="I275" s="10"/>
      <c r="J275" s="10"/>
      <c r="K275" s="99"/>
    </row>
    <row r="276" customFormat="false" ht="13.8" hidden="false" customHeight="false" outlineLevel="0" collapsed="false">
      <c r="A276" s="10" t="n">
        <f aca="false">A275+1</f>
        <v>274</v>
      </c>
      <c r="B276" s="11" t="str">
        <f aca="false">com.sun.star.sheet.addin.Analysis.getDec2Hex(2560+A276)</f>
        <v>B12</v>
      </c>
      <c r="C276" s="12"/>
      <c r="D276" s="96"/>
      <c r="E276" s="10"/>
      <c r="F276" s="10"/>
      <c r="G276" s="99"/>
      <c r="H276" s="96"/>
      <c r="I276" s="10"/>
      <c r="J276" s="10"/>
      <c r="K276" s="99"/>
    </row>
    <row r="277" customFormat="false" ht="13.8" hidden="false" customHeight="false" outlineLevel="0" collapsed="false">
      <c r="A277" s="10" t="n">
        <f aca="false">A276+1</f>
        <v>275</v>
      </c>
      <c r="B277" s="11" t="str">
        <f aca="false">com.sun.star.sheet.addin.Analysis.getDec2Hex(2560+A277)</f>
        <v>B13</v>
      </c>
      <c r="C277" s="12"/>
      <c r="D277" s="96"/>
      <c r="E277" s="10"/>
      <c r="F277" s="10"/>
      <c r="G277" s="99"/>
      <c r="H277" s="96"/>
      <c r="I277" s="10"/>
      <c r="J277" s="10"/>
      <c r="K277" s="99"/>
    </row>
    <row r="278" customFormat="false" ht="13.8" hidden="false" customHeight="false" outlineLevel="0" collapsed="false">
      <c r="A278" s="10" t="n">
        <f aca="false">A277+1</f>
        <v>276</v>
      </c>
      <c r="B278" s="11" t="str">
        <f aca="false">com.sun.star.sheet.addin.Analysis.getDec2Hex(2560+A278)</f>
        <v>B14</v>
      </c>
      <c r="C278" s="12"/>
      <c r="D278" s="96"/>
      <c r="E278" s="10"/>
      <c r="F278" s="10"/>
      <c r="G278" s="99"/>
      <c r="H278" s="96"/>
      <c r="I278" s="10"/>
      <c r="J278" s="10"/>
      <c r="K278" s="99"/>
    </row>
    <row r="279" customFormat="false" ht="13.8" hidden="false" customHeight="false" outlineLevel="0" collapsed="false">
      <c r="A279" s="10" t="n">
        <f aca="false">A278+1</f>
        <v>277</v>
      </c>
      <c r="B279" s="11" t="str">
        <f aca="false">com.sun.star.sheet.addin.Analysis.getDec2Hex(2560+A279)</f>
        <v>B15</v>
      </c>
      <c r="C279" s="12"/>
      <c r="D279" s="96"/>
      <c r="E279" s="10"/>
      <c r="F279" s="10"/>
      <c r="G279" s="99"/>
      <c r="H279" s="96"/>
      <c r="I279" s="10"/>
      <c r="J279" s="10"/>
      <c r="K279" s="99"/>
    </row>
    <row r="280" customFormat="false" ht="13.8" hidden="false" customHeight="false" outlineLevel="0" collapsed="false">
      <c r="A280" s="10" t="n">
        <f aca="false">A279+1</f>
        <v>278</v>
      </c>
      <c r="B280" s="11" t="str">
        <f aca="false">com.sun.star.sheet.addin.Analysis.getDec2Hex(2560+A280)</f>
        <v>B16</v>
      </c>
      <c r="C280" s="12"/>
      <c r="D280" s="47" t="s">
        <v>458</v>
      </c>
      <c r="E280" s="47"/>
      <c r="F280" s="47"/>
      <c r="G280" s="47"/>
      <c r="H280" s="47"/>
      <c r="I280" s="47"/>
      <c r="J280" s="47"/>
      <c r="K280" s="47"/>
    </row>
    <row r="281" customFormat="false" ht="13.8" hidden="false" customHeight="false" outlineLevel="0" collapsed="false">
      <c r="A281" s="10" t="n">
        <f aca="false">A280+1</f>
        <v>279</v>
      </c>
      <c r="B281" s="11" t="str">
        <f aca="false">com.sun.star.sheet.addin.Analysis.getDec2Hex(2560+A281)</f>
        <v>B17</v>
      </c>
      <c r="C281" s="12"/>
      <c r="D281" s="96"/>
      <c r="E281" s="10"/>
      <c r="F281" s="10"/>
      <c r="G281" s="99"/>
      <c r="H281" s="96"/>
      <c r="I281" s="10"/>
      <c r="J281" s="10"/>
      <c r="K281" s="99"/>
    </row>
    <row r="282" customFormat="false" ht="13.8" hidden="false" customHeight="false" outlineLevel="0" collapsed="false">
      <c r="A282" s="10" t="n">
        <f aca="false">A281+1</f>
        <v>280</v>
      </c>
      <c r="B282" s="11" t="str">
        <f aca="false">com.sun.star.sheet.addin.Analysis.getDec2Hex(2560+A282)</f>
        <v>B18</v>
      </c>
      <c r="C282" s="12"/>
      <c r="D282" s="96"/>
      <c r="E282" s="10"/>
      <c r="F282" s="10"/>
      <c r="G282" s="99"/>
      <c r="H282" s="96"/>
      <c r="I282" s="10"/>
      <c r="J282" s="10"/>
      <c r="K282" s="99"/>
    </row>
    <row r="283" customFormat="false" ht="13.8" hidden="false" customHeight="false" outlineLevel="0" collapsed="false">
      <c r="A283" s="10" t="n">
        <f aca="false">A282+1</f>
        <v>281</v>
      </c>
      <c r="B283" s="11" t="str">
        <f aca="false">com.sun.star.sheet.addin.Analysis.getDec2Hex(2560+A283)</f>
        <v>B19</v>
      </c>
      <c r="C283" s="12"/>
      <c r="D283" s="96"/>
      <c r="E283" s="10"/>
      <c r="F283" s="10"/>
      <c r="G283" s="99"/>
      <c r="H283" s="96"/>
      <c r="I283" s="10"/>
      <c r="J283" s="10"/>
      <c r="K283" s="99"/>
    </row>
    <row r="284" customFormat="false" ht="13.8" hidden="false" customHeight="false" outlineLevel="0" collapsed="false">
      <c r="A284" s="10" t="n">
        <f aca="false">A283+1</f>
        <v>282</v>
      </c>
      <c r="B284" s="11" t="str">
        <f aca="false">com.sun.star.sheet.addin.Analysis.getDec2Hex(2560+A284)</f>
        <v>B1A</v>
      </c>
      <c r="C284" s="12"/>
      <c r="D284" s="96"/>
      <c r="E284" s="10"/>
      <c r="F284" s="10"/>
      <c r="G284" s="99"/>
      <c r="H284" s="96"/>
      <c r="I284" s="10"/>
      <c r="J284" s="10"/>
      <c r="K284" s="99"/>
    </row>
    <row r="285" customFormat="false" ht="13.8" hidden="false" customHeight="false" outlineLevel="0" collapsed="false">
      <c r="A285" s="10" t="n">
        <f aca="false">A284+1</f>
        <v>283</v>
      </c>
      <c r="B285" s="11" t="str">
        <f aca="false">com.sun.star.sheet.addin.Analysis.getDec2Hex(2560+A285)</f>
        <v>B1B</v>
      </c>
      <c r="C285" s="12"/>
      <c r="D285" s="96"/>
      <c r="E285" s="10"/>
      <c r="F285" s="10"/>
      <c r="G285" s="99"/>
      <c r="H285" s="96"/>
      <c r="I285" s="10"/>
      <c r="J285" s="10"/>
      <c r="K285" s="99"/>
    </row>
    <row r="286" customFormat="false" ht="13.8" hidden="false" customHeight="false" outlineLevel="0" collapsed="false">
      <c r="A286" s="10" t="n">
        <f aca="false">A285+1</f>
        <v>284</v>
      </c>
      <c r="B286" s="11" t="str">
        <f aca="false">com.sun.star.sheet.addin.Analysis.getDec2Hex(2560+A286)</f>
        <v>B1C</v>
      </c>
      <c r="C286" s="12"/>
      <c r="D286" s="47" t="s">
        <v>459</v>
      </c>
      <c r="E286" s="47"/>
      <c r="F286" s="47"/>
      <c r="G286" s="47"/>
      <c r="H286" s="47"/>
      <c r="I286" s="47"/>
      <c r="J286" s="47"/>
      <c r="K286" s="47"/>
    </row>
    <row r="287" customFormat="false" ht="13.8" hidden="false" customHeight="false" outlineLevel="0" collapsed="false">
      <c r="A287" s="10" t="n">
        <f aca="false">A286+1</f>
        <v>285</v>
      </c>
      <c r="B287" s="11" t="str">
        <f aca="false">com.sun.star.sheet.addin.Analysis.getDec2Hex(2560+A287)</f>
        <v>B1D</v>
      </c>
      <c r="C287" s="12"/>
      <c r="D287" s="96"/>
      <c r="E287" s="10"/>
      <c r="F287" s="10"/>
      <c r="G287" s="99"/>
      <c r="H287" s="96"/>
      <c r="I287" s="10"/>
      <c r="J287" s="10"/>
      <c r="K287" s="99"/>
    </row>
    <row r="288" customFormat="false" ht="13.8" hidden="false" customHeight="false" outlineLevel="0" collapsed="false">
      <c r="A288" s="10" t="n">
        <f aca="false">A287+1</f>
        <v>286</v>
      </c>
      <c r="B288" s="11" t="str">
        <f aca="false">com.sun.star.sheet.addin.Analysis.getDec2Hex(2560+A288)</f>
        <v>B1E</v>
      </c>
      <c r="C288" s="12"/>
      <c r="D288" s="96"/>
      <c r="E288" s="10"/>
      <c r="F288" s="10"/>
      <c r="G288" s="99"/>
      <c r="H288" s="96"/>
      <c r="I288" s="10"/>
      <c r="J288" s="10"/>
      <c r="K288" s="99"/>
    </row>
    <row r="289" s="62" customFormat="true" ht="13.8" hidden="false" customHeight="false" outlineLevel="0" collapsed="false">
      <c r="A289" s="54" t="n">
        <f aca="false">A288+1</f>
        <v>287</v>
      </c>
      <c r="B289" s="55" t="str">
        <f aca="false">com.sun.star.sheet.addin.Analysis.getDec2Hex(2560+A289)</f>
        <v>B1F</v>
      </c>
      <c r="C289" s="101"/>
      <c r="D289" s="102"/>
      <c r="E289" s="54"/>
      <c r="F289" s="54"/>
      <c r="G289" s="103"/>
      <c r="H289" s="102"/>
      <c r="I289" s="54"/>
      <c r="J289" s="54"/>
      <c r="K289" s="103"/>
      <c r="AMH289" s="0"/>
      <c r="AMI289" s="0"/>
      <c r="AMJ289" s="0"/>
    </row>
    <row r="290" customFormat="false" ht="13.8" hidden="false" customHeight="false" outlineLevel="0" collapsed="false">
      <c r="A290" s="63" t="n">
        <f aca="false">A289+1</f>
        <v>288</v>
      </c>
      <c r="B290" s="64" t="str">
        <f aca="false">com.sun.star.sheet.addin.Analysis.getDec2Hex(2560+A290)</f>
        <v>B20</v>
      </c>
      <c r="C290" s="65"/>
      <c r="D290" s="92"/>
      <c r="E290" s="63"/>
      <c r="F290" s="63"/>
      <c r="G290" s="95"/>
      <c r="H290" s="92"/>
      <c r="I290" s="63"/>
      <c r="J290" s="63"/>
      <c r="K290" s="95"/>
    </row>
    <row r="291" customFormat="false" ht="13.8" hidden="false" customHeight="false" outlineLevel="0" collapsed="false">
      <c r="A291" s="10" t="n">
        <f aca="false">A290+1</f>
        <v>289</v>
      </c>
      <c r="B291" s="11" t="str">
        <f aca="false">com.sun.star.sheet.addin.Analysis.getDec2Hex(2560+A291)</f>
        <v>B21</v>
      </c>
      <c r="C291" s="12"/>
      <c r="D291" s="96"/>
      <c r="E291" s="10"/>
      <c r="F291" s="10"/>
      <c r="G291" s="99"/>
      <c r="H291" s="96"/>
      <c r="I291" s="10"/>
      <c r="J291" s="10"/>
      <c r="K291" s="99"/>
    </row>
    <row r="292" customFormat="false" ht="13.8" hidden="false" customHeight="false" outlineLevel="0" collapsed="false">
      <c r="A292" s="10" t="n">
        <f aca="false">A291+1</f>
        <v>290</v>
      </c>
      <c r="B292" s="11" t="str">
        <f aca="false">com.sun.star.sheet.addin.Analysis.getDec2Hex(2560+A292)</f>
        <v>B22</v>
      </c>
      <c r="C292" s="12"/>
      <c r="D292" s="47" t="s">
        <v>460</v>
      </c>
      <c r="E292" s="47"/>
      <c r="F292" s="47"/>
      <c r="G292" s="47"/>
      <c r="H292" s="47"/>
      <c r="I292" s="47"/>
      <c r="J292" s="47"/>
      <c r="K292" s="47"/>
    </row>
    <row r="293" customFormat="false" ht="13.8" hidden="false" customHeight="false" outlineLevel="0" collapsed="false">
      <c r="A293" s="10" t="n">
        <f aca="false">A292+1</f>
        <v>291</v>
      </c>
      <c r="B293" s="11" t="str">
        <f aca="false">com.sun.star.sheet.addin.Analysis.getDec2Hex(2560+A293)</f>
        <v>B23</v>
      </c>
      <c r="C293" s="12"/>
      <c r="D293" s="96"/>
      <c r="E293" s="10"/>
      <c r="F293" s="10"/>
      <c r="G293" s="99"/>
      <c r="H293" s="96"/>
      <c r="I293" s="10"/>
      <c r="J293" s="10"/>
      <c r="K293" s="99"/>
    </row>
    <row r="294" customFormat="false" ht="13.8" hidden="false" customHeight="false" outlineLevel="0" collapsed="false">
      <c r="A294" s="10" t="n">
        <f aca="false">A293+1</f>
        <v>292</v>
      </c>
      <c r="B294" s="11" t="str">
        <f aca="false">com.sun.star.sheet.addin.Analysis.getDec2Hex(2560+A294)</f>
        <v>B24</v>
      </c>
      <c r="C294" s="12"/>
      <c r="D294" s="47" t="s">
        <v>461</v>
      </c>
      <c r="E294" s="47"/>
      <c r="F294" s="47"/>
      <c r="G294" s="47"/>
      <c r="H294" s="47"/>
      <c r="I294" s="47"/>
      <c r="J294" s="47"/>
      <c r="K294" s="47"/>
    </row>
    <row r="295" customFormat="false" ht="13.8" hidden="false" customHeight="false" outlineLevel="0" collapsed="false">
      <c r="A295" s="10" t="n">
        <f aca="false">A294+1</f>
        <v>293</v>
      </c>
      <c r="B295" s="11" t="str">
        <f aca="false">com.sun.star.sheet.addin.Analysis.getDec2Hex(2560+A295)</f>
        <v>B25</v>
      </c>
      <c r="C295" s="12"/>
      <c r="D295" s="96"/>
      <c r="E295" s="10"/>
      <c r="F295" s="10"/>
      <c r="G295" s="99"/>
      <c r="H295" s="96"/>
      <c r="I295" s="10"/>
      <c r="J295" s="10"/>
      <c r="K295" s="99"/>
    </row>
    <row r="296" customFormat="false" ht="13.8" hidden="false" customHeight="false" outlineLevel="0" collapsed="false">
      <c r="A296" s="10" t="n">
        <f aca="false">A295+1</f>
        <v>294</v>
      </c>
      <c r="B296" s="11" t="str">
        <f aca="false">com.sun.star.sheet.addin.Analysis.getDec2Hex(2560+A296)</f>
        <v>B26</v>
      </c>
      <c r="C296" s="12"/>
      <c r="D296" s="47" t="s">
        <v>462</v>
      </c>
      <c r="E296" s="47"/>
      <c r="F296" s="47"/>
      <c r="G296" s="47"/>
      <c r="H296" s="47"/>
      <c r="I296" s="47"/>
      <c r="J296" s="47"/>
      <c r="K296" s="47"/>
    </row>
    <row r="297" customFormat="false" ht="13.8" hidden="false" customHeight="false" outlineLevel="0" collapsed="false">
      <c r="A297" s="10" t="n">
        <f aca="false">A296+1</f>
        <v>295</v>
      </c>
      <c r="B297" s="11" t="str">
        <f aca="false">com.sun.star.sheet.addin.Analysis.getDec2Hex(2560+A297)</f>
        <v>B27</v>
      </c>
      <c r="C297" s="12"/>
      <c r="D297" s="96"/>
      <c r="E297" s="10"/>
      <c r="F297" s="10"/>
      <c r="G297" s="99"/>
      <c r="H297" s="96"/>
      <c r="I297" s="10"/>
      <c r="J297" s="10"/>
      <c r="K297" s="99"/>
    </row>
    <row r="298" customFormat="false" ht="13.8" hidden="false" customHeight="false" outlineLevel="0" collapsed="false">
      <c r="A298" s="10" t="n">
        <f aca="false">A297+1</f>
        <v>296</v>
      </c>
      <c r="B298" s="11" t="str">
        <f aca="false">com.sun.star.sheet.addin.Analysis.getDec2Hex(2560+A298)</f>
        <v>B28</v>
      </c>
      <c r="C298" s="12"/>
      <c r="D298" s="131" t="s">
        <v>463</v>
      </c>
      <c r="E298" s="131"/>
      <c r="F298" s="131"/>
      <c r="G298" s="131"/>
      <c r="H298" s="131"/>
      <c r="I298" s="131"/>
      <c r="J298" s="131"/>
      <c r="K298" s="131"/>
    </row>
    <row r="299" customFormat="false" ht="13.8" hidden="false" customHeight="false" outlineLevel="0" collapsed="false">
      <c r="A299" s="10" t="n">
        <f aca="false">A298+1</f>
        <v>297</v>
      </c>
      <c r="B299" s="11" t="str">
        <f aca="false">com.sun.star.sheet.addin.Analysis.getDec2Hex(2560+A299)</f>
        <v>B29</v>
      </c>
      <c r="C299" s="12"/>
      <c r="D299" s="131"/>
      <c r="E299" s="131"/>
      <c r="F299" s="131"/>
      <c r="G299" s="131"/>
      <c r="H299" s="131"/>
      <c r="I299" s="131"/>
      <c r="J299" s="131"/>
      <c r="K299" s="131"/>
    </row>
    <row r="300" customFormat="false" ht="13.8" hidden="false" customHeight="false" outlineLevel="0" collapsed="false">
      <c r="A300" s="10" t="n">
        <f aca="false">A299+1</f>
        <v>298</v>
      </c>
      <c r="B300" s="11" t="str">
        <f aca="false">com.sun.star.sheet.addin.Analysis.getDec2Hex(2560+A300)</f>
        <v>B2A</v>
      </c>
      <c r="C300" s="12"/>
      <c r="D300" s="131" t="s">
        <v>464</v>
      </c>
      <c r="E300" s="131"/>
      <c r="F300" s="131"/>
      <c r="G300" s="131"/>
      <c r="H300" s="131"/>
      <c r="I300" s="131"/>
      <c r="J300" s="131"/>
      <c r="K300" s="131"/>
    </row>
    <row r="301" customFormat="false" ht="13.8" hidden="false" customHeight="false" outlineLevel="0" collapsed="false">
      <c r="A301" s="10" t="n">
        <f aca="false">A300+1</f>
        <v>299</v>
      </c>
      <c r="B301" s="11" t="str">
        <f aca="false">com.sun.star.sheet.addin.Analysis.getDec2Hex(2560+A301)</f>
        <v>B2B</v>
      </c>
      <c r="C301" s="12"/>
      <c r="D301" s="131"/>
      <c r="E301" s="131"/>
      <c r="F301" s="131"/>
      <c r="G301" s="131"/>
      <c r="H301" s="131"/>
      <c r="I301" s="131"/>
      <c r="J301" s="131"/>
      <c r="K301" s="131"/>
    </row>
    <row r="302" customFormat="false" ht="13.8" hidden="false" customHeight="false" outlineLevel="0" collapsed="false">
      <c r="A302" s="10" t="n">
        <f aca="false">A301+1</f>
        <v>300</v>
      </c>
      <c r="B302" s="11" t="str">
        <f aca="false">com.sun.star.sheet.addin.Analysis.getDec2Hex(2560+A302)</f>
        <v>B2C</v>
      </c>
      <c r="C302" s="12"/>
      <c r="D302" s="131" t="s">
        <v>465</v>
      </c>
      <c r="E302" s="131"/>
      <c r="F302" s="131"/>
      <c r="G302" s="131"/>
      <c r="H302" s="131"/>
      <c r="I302" s="131"/>
      <c r="J302" s="131"/>
      <c r="K302" s="131"/>
    </row>
    <row r="303" customFormat="false" ht="13.8" hidden="false" customHeight="false" outlineLevel="0" collapsed="false">
      <c r="A303" s="10" t="n">
        <f aca="false">A302+1</f>
        <v>301</v>
      </c>
      <c r="B303" s="11" t="str">
        <f aca="false">com.sun.star.sheet.addin.Analysis.getDec2Hex(2560+A303)</f>
        <v>B2D</v>
      </c>
      <c r="C303" s="12"/>
      <c r="D303" s="131"/>
      <c r="E303" s="131"/>
      <c r="F303" s="131"/>
      <c r="G303" s="131"/>
      <c r="H303" s="131"/>
      <c r="I303" s="131"/>
      <c r="J303" s="131"/>
      <c r="K303" s="131"/>
    </row>
    <row r="304" customFormat="false" ht="13.8" hidden="false" customHeight="false" outlineLevel="0" collapsed="false">
      <c r="A304" s="10" t="n">
        <f aca="false">A303+1</f>
        <v>302</v>
      </c>
      <c r="B304" s="11" t="str">
        <f aca="false">com.sun.star.sheet.addin.Analysis.getDec2Hex(2560+A304)</f>
        <v>B2E</v>
      </c>
      <c r="C304" s="12"/>
      <c r="D304" s="131" t="s">
        <v>466</v>
      </c>
      <c r="E304" s="131"/>
      <c r="F304" s="131"/>
      <c r="G304" s="131"/>
      <c r="H304" s="131"/>
      <c r="I304" s="131"/>
      <c r="J304" s="131"/>
      <c r="K304" s="131"/>
    </row>
    <row r="305" s="62" customFormat="true" ht="13.8" hidden="false" customHeight="false" outlineLevel="0" collapsed="false">
      <c r="A305" s="54" t="n">
        <f aca="false">A304+1</f>
        <v>303</v>
      </c>
      <c r="B305" s="55" t="str">
        <f aca="false">com.sun.star.sheet.addin.Analysis.getDec2Hex(2560+A305)</f>
        <v>B2F</v>
      </c>
      <c r="C305" s="101"/>
      <c r="D305" s="131"/>
      <c r="E305" s="131"/>
      <c r="F305" s="131"/>
      <c r="G305" s="131"/>
      <c r="H305" s="131"/>
      <c r="I305" s="131"/>
      <c r="J305" s="131"/>
      <c r="K305" s="131"/>
      <c r="AMH305" s="0"/>
      <c r="AMI305" s="0"/>
      <c r="AMJ305" s="0"/>
    </row>
    <row r="306" customFormat="false" ht="13.8" hidden="false" customHeight="false" outlineLevel="0" collapsed="false">
      <c r="A306" s="63" t="n">
        <f aca="false">A305+1</f>
        <v>304</v>
      </c>
      <c r="B306" s="64" t="str">
        <f aca="false">com.sun.star.sheet.addin.Analysis.getDec2Hex(2560+A306)</f>
        <v>B30</v>
      </c>
      <c r="C306" s="65" t="s">
        <v>467</v>
      </c>
      <c r="D306" s="131" t="s">
        <v>468</v>
      </c>
      <c r="E306" s="131"/>
      <c r="F306" s="131"/>
      <c r="G306" s="131"/>
      <c r="H306" s="131"/>
      <c r="I306" s="131"/>
      <c r="J306" s="131"/>
      <c r="K306" s="131"/>
    </row>
    <row r="307" customFormat="false" ht="13.8" hidden="false" customHeight="false" outlineLevel="0" collapsed="false">
      <c r="A307" s="10" t="n">
        <f aca="false">A306+1</f>
        <v>305</v>
      </c>
      <c r="B307" s="11" t="str">
        <f aca="false">com.sun.star.sheet.addin.Analysis.getDec2Hex(2560+A307)</f>
        <v>B31</v>
      </c>
      <c r="C307" s="12"/>
      <c r="D307" s="131"/>
      <c r="E307" s="131"/>
      <c r="F307" s="131"/>
      <c r="G307" s="131"/>
      <c r="H307" s="131"/>
      <c r="I307" s="131"/>
      <c r="J307" s="131"/>
      <c r="K307" s="131"/>
    </row>
    <row r="308" customFormat="false" ht="13.8" hidden="false" customHeight="false" outlineLevel="0" collapsed="false">
      <c r="A308" s="10" t="n">
        <f aca="false">A307+1</f>
        <v>306</v>
      </c>
      <c r="B308" s="11" t="str">
        <f aca="false">com.sun.star.sheet.addin.Analysis.getDec2Hex(2560+A308)</f>
        <v>B32</v>
      </c>
      <c r="C308" s="12"/>
      <c r="D308" s="131" t="s">
        <v>469</v>
      </c>
      <c r="E308" s="131"/>
      <c r="F308" s="131"/>
      <c r="G308" s="131"/>
      <c r="H308" s="131"/>
      <c r="I308" s="131"/>
      <c r="J308" s="131"/>
      <c r="K308" s="131"/>
    </row>
    <row r="309" customFormat="false" ht="13.8" hidden="false" customHeight="false" outlineLevel="0" collapsed="false">
      <c r="A309" s="10" t="n">
        <f aca="false">A308+1</f>
        <v>307</v>
      </c>
      <c r="B309" s="11" t="str">
        <f aca="false">com.sun.star.sheet.addin.Analysis.getDec2Hex(2560+A309)</f>
        <v>B33</v>
      </c>
      <c r="C309" s="12"/>
      <c r="D309" s="131"/>
      <c r="E309" s="131"/>
      <c r="F309" s="131"/>
      <c r="G309" s="131"/>
      <c r="H309" s="131"/>
      <c r="I309" s="131"/>
      <c r="J309" s="131"/>
      <c r="K309" s="131"/>
    </row>
    <row r="310" customFormat="false" ht="13.8" hidden="false" customHeight="false" outlineLevel="0" collapsed="false">
      <c r="A310" s="10" t="n">
        <f aca="false">A309+1</f>
        <v>308</v>
      </c>
      <c r="B310" s="11" t="str">
        <f aca="false">com.sun.star.sheet.addin.Analysis.getDec2Hex(2560+A310)</f>
        <v>B34</v>
      </c>
      <c r="C310" s="12" t="s">
        <v>470</v>
      </c>
      <c r="D310" s="25" t="s">
        <v>471</v>
      </c>
      <c r="E310" s="25" t="s">
        <v>472</v>
      </c>
      <c r="F310" s="25" t="s">
        <v>473</v>
      </c>
      <c r="G310" s="25" t="s">
        <v>474</v>
      </c>
      <c r="H310" s="25" t="s">
        <v>475</v>
      </c>
      <c r="I310" s="25" t="s">
        <v>476</v>
      </c>
      <c r="J310" s="25" t="s">
        <v>477</v>
      </c>
      <c r="K310" s="25" t="s">
        <v>478</v>
      </c>
    </row>
    <row r="311" customFormat="false" ht="13.8" hidden="false" customHeight="false" outlineLevel="0" collapsed="false">
      <c r="A311" s="10" t="n">
        <f aca="false">A310+1</f>
        <v>309</v>
      </c>
      <c r="B311" s="11" t="str">
        <f aca="false">com.sun.star.sheet.addin.Analysis.getDec2Hex(2560+A311)</f>
        <v>B35</v>
      </c>
      <c r="C311" s="12"/>
      <c r="D311" s="25" t="s">
        <v>479</v>
      </c>
      <c r="E311" s="25" t="s">
        <v>480</v>
      </c>
      <c r="F311" s="25" t="s">
        <v>481</v>
      </c>
      <c r="G311" s="25" t="s">
        <v>482</v>
      </c>
      <c r="H311" s="25" t="s">
        <v>483</v>
      </c>
      <c r="I311" s="25" t="s">
        <v>484</v>
      </c>
      <c r="J311" s="25" t="s">
        <v>485</v>
      </c>
      <c r="K311" s="25" t="s">
        <v>486</v>
      </c>
    </row>
    <row r="312" customFormat="false" ht="13.8" hidden="false" customHeight="false" outlineLevel="0" collapsed="false">
      <c r="A312" s="10" t="n">
        <f aca="false">A311+1</f>
        <v>310</v>
      </c>
      <c r="B312" s="11" t="str">
        <f aca="false">com.sun.star.sheet.addin.Analysis.getDec2Hex(2560+A312)</f>
        <v>B36</v>
      </c>
      <c r="C312" s="12" t="s">
        <v>487</v>
      </c>
      <c r="D312" s="25" t="s">
        <v>488</v>
      </c>
      <c r="E312" s="25" t="s">
        <v>489</v>
      </c>
      <c r="F312" s="25" t="s">
        <v>490</v>
      </c>
      <c r="G312" s="25" t="s">
        <v>491</v>
      </c>
      <c r="H312" s="25" t="s">
        <v>492</v>
      </c>
      <c r="I312" s="25" t="s">
        <v>493</v>
      </c>
      <c r="J312" s="25" t="s">
        <v>494</v>
      </c>
      <c r="K312" s="25" t="s">
        <v>495</v>
      </c>
    </row>
    <row r="313" customFormat="false" ht="13.8" hidden="false" customHeight="false" outlineLevel="0" collapsed="false">
      <c r="A313" s="10" t="n">
        <f aca="false">A312+1</f>
        <v>311</v>
      </c>
      <c r="B313" s="11" t="str">
        <f aca="false">com.sun.star.sheet.addin.Analysis.getDec2Hex(2560+A313)</f>
        <v>B37</v>
      </c>
      <c r="C313" s="12"/>
      <c r="D313" s="25" t="s">
        <v>496</v>
      </c>
      <c r="E313" s="25" t="s">
        <v>497</v>
      </c>
      <c r="F313" s="25" t="s">
        <v>498</v>
      </c>
      <c r="G313" s="25" t="s">
        <v>499</v>
      </c>
      <c r="H313" s="25" t="s">
        <v>500</v>
      </c>
      <c r="I313" s="25" t="s">
        <v>501</v>
      </c>
      <c r="J313" s="25" t="s">
        <v>502</v>
      </c>
      <c r="K313" s="25" t="s">
        <v>503</v>
      </c>
    </row>
    <row r="314" customFormat="false" ht="13.8" hidden="false" customHeight="false" outlineLevel="0" collapsed="false">
      <c r="A314" s="10" t="n">
        <f aca="false">A313+1</f>
        <v>312</v>
      </c>
      <c r="B314" s="11" t="str">
        <f aca="false">com.sun.star.sheet.addin.Analysis.getDec2Hex(2560+A314)</f>
        <v>B38</v>
      </c>
      <c r="C314" s="12" t="s">
        <v>504</v>
      </c>
      <c r="D314" s="25"/>
      <c r="E314" s="25"/>
      <c r="F314" s="25"/>
      <c r="G314" s="25"/>
      <c r="H314" s="25" t="s">
        <v>505</v>
      </c>
      <c r="I314" s="25" t="s">
        <v>506</v>
      </c>
      <c r="J314" s="25" t="s">
        <v>507</v>
      </c>
      <c r="K314" s="25" t="s">
        <v>508</v>
      </c>
    </row>
    <row r="315" customFormat="false" ht="13.8" hidden="false" customHeight="false" outlineLevel="0" collapsed="false">
      <c r="A315" s="10" t="n">
        <f aca="false">A314+1</f>
        <v>313</v>
      </c>
      <c r="B315" s="11" t="str">
        <f aca="false">com.sun.star.sheet.addin.Analysis.getDec2Hex(2560+A315)</f>
        <v>B39</v>
      </c>
      <c r="C315" s="12"/>
      <c r="D315" s="96"/>
      <c r="E315" s="10"/>
      <c r="F315" s="10"/>
      <c r="G315" s="99"/>
      <c r="H315" s="96"/>
      <c r="I315" s="10"/>
      <c r="J315" s="10"/>
      <c r="K315" s="99"/>
    </row>
    <row r="316" customFormat="false" ht="13.8" hidden="false" customHeight="false" outlineLevel="0" collapsed="false">
      <c r="A316" s="10" t="n">
        <f aca="false">A315+1</f>
        <v>314</v>
      </c>
      <c r="B316" s="11" t="str">
        <f aca="false">com.sun.star.sheet.addin.Analysis.getDec2Hex(2560+A316)</f>
        <v>B3A</v>
      </c>
      <c r="C316" s="12" t="s">
        <v>509</v>
      </c>
      <c r="D316" s="96"/>
      <c r="E316" s="10"/>
      <c r="F316" s="10"/>
      <c r="G316" s="99"/>
      <c r="H316" s="96"/>
      <c r="I316" s="10"/>
      <c r="J316" s="10"/>
      <c r="K316" s="25" t="s">
        <v>510</v>
      </c>
    </row>
    <row r="317" customFormat="false" ht="13.8" hidden="false" customHeight="false" outlineLevel="0" collapsed="false">
      <c r="A317" s="10" t="n">
        <f aca="false">A316+1</f>
        <v>315</v>
      </c>
      <c r="B317" s="11" t="str">
        <f aca="false">com.sun.star.sheet.addin.Analysis.getDec2Hex(2560+A317)</f>
        <v>B3B</v>
      </c>
      <c r="C317" s="12"/>
      <c r="D317" s="96"/>
      <c r="E317" s="10"/>
      <c r="F317" s="10"/>
      <c r="G317" s="99"/>
      <c r="H317" s="96"/>
      <c r="I317" s="10"/>
      <c r="J317" s="10"/>
      <c r="K317" s="99"/>
    </row>
    <row r="318" customFormat="false" ht="13.8" hidden="false" customHeight="false" outlineLevel="0" collapsed="false">
      <c r="A318" s="10" t="n">
        <f aca="false">A317+1</f>
        <v>316</v>
      </c>
      <c r="B318" s="11" t="str">
        <f aca="false">com.sun.star.sheet.addin.Analysis.getDec2Hex(2560+A318)</f>
        <v>B3C</v>
      </c>
      <c r="C318" s="12"/>
      <c r="D318" s="96"/>
      <c r="E318" s="10"/>
      <c r="F318" s="10"/>
      <c r="G318" s="99"/>
      <c r="H318" s="96"/>
      <c r="I318" s="10"/>
      <c r="J318" s="10"/>
      <c r="K318" s="99"/>
    </row>
    <row r="319" customFormat="false" ht="13.8" hidden="false" customHeight="false" outlineLevel="0" collapsed="false">
      <c r="A319" s="10" t="n">
        <f aca="false">A318+1</f>
        <v>317</v>
      </c>
      <c r="B319" s="11" t="str">
        <f aca="false">com.sun.star.sheet.addin.Analysis.getDec2Hex(2560+A319)</f>
        <v>B3D</v>
      </c>
      <c r="C319" s="12"/>
      <c r="D319" s="96"/>
      <c r="E319" s="10"/>
      <c r="F319" s="10"/>
      <c r="G319" s="99"/>
      <c r="H319" s="96"/>
      <c r="I319" s="10"/>
      <c r="J319" s="10"/>
      <c r="K319" s="99"/>
    </row>
    <row r="320" customFormat="false" ht="13.8" hidden="false" customHeight="false" outlineLevel="0" collapsed="false">
      <c r="A320" s="10" t="n">
        <f aca="false">A319+1</f>
        <v>318</v>
      </c>
      <c r="B320" s="11" t="str">
        <f aca="false">com.sun.star.sheet.addin.Analysis.getDec2Hex(2560+A320)</f>
        <v>B3E</v>
      </c>
      <c r="C320" s="12"/>
      <c r="D320" s="96"/>
      <c r="E320" s="10"/>
      <c r="F320" s="10"/>
      <c r="G320" s="99"/>
      <c r="H320" s="96"/>
      <c r="I320" s="10"/>
      <c r="J320" s="10"/>
      <c r="K320" s="99"/>
    </row>
    <row r="321" customFormat="false" ht="13.8" hidden="false" customHeight="false" outlineLevel="0" collapsed="false">
      <c r="A321" s="10" t="n">
        <f aca="false">A320+1</f>
        <v>319</v>
      </c>
      <c r="B321" s="11" t="str">
        <f aca="false">com.sun.star.sheet.addin.Analysis.getDec2Hex(2560+A321)</f>
        <v>B3F</v>
      </c>
      <c r="C321" s="12"/>
      <c r="D321" s="96"/>
      <c r="E321" s="10"/>
      <c r="F321" s="10"/>
      <c r="G321" s="99"/>
      <c r="H321" s="96"/>
      <c r="I321" s="10"/>
      <c r="J321" s="10"/>
      <c r="K321" s="99"/>
    </row>
    <row r="322" customFormat="false" ht="13.8" hidden="false" customHeight="false" outlineLevel="0" collapsed="false">
      <c r="A322" s="10" t="n">
        <f aca="false">A321+1</f>
        <v>320</v>
      </c>
      <c r="B322" s="11" t="str">
        <f aca="false">com.sun.star.sheet.addin.Analysis.getDec2Hex(2560+A322)</f>
        <v>B40</v>
      </c>
      <c r="C322" s="12"/>
      <c r="D322" s="96"/>
      <c r="E322" s="10"/>
      <c r="F322" s="10"/>
      <c r="G322" s="99"/>
      <c r="H322" s="96"/>
      <c r="I322" s="10"/>
      <c r="J322" s="10"/>
      <c r="K322" s="99"/>
    </row>
    <row r="323" customFormat="false" ht="13.8" hidden="false" customHeight="false" outlineLevel="0" collapsed="false">
      <c r="A323" s="10" t="n">
        <f aca="false">A322+1</f>
        <v>321</v>
      </c>
      <c r="B323" s="11" t="str">
        <f aca="false">com.sun.star.sheet.addin.Analysis.getDec2Hex(2560+A323)</f>
        <v>B41</v>
      </c>
      <c r="C323" s="12"/>
      <c r="D323" s="96"/>
      <c r="E323" s="10"/>
      <c r="F323" s="10"/>
      <c r="G323" s="99"/>
      <c r="H323" s="96"/>
      <c r="I323" s="10"/>
      <c r="J323" s="10"/>
      <c r="K323" s="99"/>
    </row>
    <row r="324" customFormat="false" ht="13.8" hidden="false" customHeight="false" outlineLevel="0" collapsed="false">
      <c r="A324" s="10" t="n">
        <f aca="false">A323+1</f>
        <v>322</v>
      </c>
      <c r="B324" s="11" t="str">
        <f aca="false">com.sun.star.sheet.addin.Analysis.getDec2Hex(2560+A324)</f>
        <v>B42</v>
      </c>
      <c r="C324" s="12"/>
      <c r="D324" s="96"/>
      <c r="E324" s="10"/>
      <c r="F324" s="10"/>
      <c r="G324" s="99"/>
      <c r="H324" s="96"/>
      <c r="I324" s="10"/>
      <c r="J324" s="10"/>
      <c r="K324" s="99"/>
    </row>
    <row r="325" customFormat="false" ht="13.8" hidden="false" customHeight="false" outlineLevel="0" collapsed="false">
      <c r="A325" s="10" t="n">
        <f aca="false">A324+1</f>
        <v>323</v>
      </c>
      <c r="B325" s="11" t="str">
        <f aca="false">com.sun.star.sheet.addin.Analysis.getDec2Hex(2560+A325)</f>
        <v>B43</v>
      </c>
      <c r="C325" s="12"/>
      <c r="D325" s="96"/>
      <c r="E325" s="10"/>
      <c r="F325" s="10"/>
      <c r="G325" s="99"/>
      <c r="H325" s="96"/>
      <c r="I325" s="10"/>
      <c r="J325" s="10"/>
      <c r="K325" s="99"/>
    </row>
    <row r="326" customFormat="false" ht="13.8" hidden="false" customHeight="false" outlineLevel="0" collapsed="false">
      <c r="A326" s="10" t="n">
        <f aca="false">A325+1</f>
        <v>324</v>
      </c>
      <c r="B326" s="11" t="str">
        <f aca="false">com.sun.star.sheet.addin.Analysis.getDec2Hex(2560+A326)</f>
        <v>B44</v>
      </c>
      <c r="C326" s="12"/>
      <c r="D326" s="96"/>
      <c r="E326" s="10"/>
      <c r="F326" s="10"/>
      <c r="G326" s="99"/>
      <c r="H326" s="96"/>
      <c r="I326" s="10"/>
      <c r="J326" s="10"/>
      <c r="K326" s="99"/>
    </row>
    <row r="327" customFormat="false" ht="13.8" hidden="false" customHeight="false" outlineLevel="0" collapsed="false">
      <c r="A327" s="10" t="n">
        <f aca="false">A326+1</f>
        <v>325</v>
      </c>
      <c r="B327" s="11" t="str">
        <f aca="false">com.sun.star.sheet.addin.Analysis.getDec2Hex(2560+A327)</f>
        <v>B45</v>
      </c>
      <c r="C327" s="12"/>
      <c r="D327" s="96"/>
      <c r="E327" s="10"/>
      <c r="F327" s="10"/>
      <c r="G327" s="99"/>
      <c r="H327" s="96"/>
      <c r="I327" s="10"/>
      <c r="J327" s="10"/>
      <c r="K327" s="99"/>
    </row>
    <row r="328" customFormat="false" ht="13.8" hidden="false" customHeight="false" outlineLevel="0" collapsed="false">
      <c r="A328" s="10" t="n">
        <f aca="false">A327+1</f>
        <v>326</v>
      </c>
      <c r="B328" s="11" t="str">
        <f aca="false">com.sun.star.sheet.addin.Analysis.getDec2Hex(2560+A328)</f>
        <v>B46</v>
      </c>
      <c r="C328" s="12"/>
      <c r="D328" s="96"/>
      <c r="E328" s="10"/>
      <c r="F328" s="10"/>
      <c r="G328" s="99"/>
      <c r="H328" s="96"/>
      <c r="I328" s="10"/>
      <c r="J328" s="10"/>
      <c r="K328" s="99"/>
    </row>
    <row r="329" customFormat="false" ht="13.8" hidden="false" customHeight="false" outlineLevel="0" collapsed="false">
      <c r="A329" s="10" t="n">
        <f aca="false">A328+1</f>
        <v>327</v>
      </c>
      <c r="B329" s="11" t="str">
        <f aca="false">com.sun.star.sheet.addin.Analysis.getDec2Hex(2560+A329)</f>
        <v>B47</v>
      </c>
      <c r="C329" s="12"/>
      <c r="D329" s="96"/>
      <c r="E329" s="10"/>
      <c r="F329" s="10"/>
      <c r="G329" s="99"/>
      <c r="H329" s="96"/>
      <c r="I329" s="10"/>
      <c r="J329" s="10"/>
      <c r="K329" s="99"/>
    </row>
    <row r="330" customFormat="false" ht="13.8" hidden="false" customHeight="false" outlineLevel="0" collapsed="false">
      <c r="A330" s="10" t="n">
        <f aca="false">A329+1</f>
        <v>328</v>
      </c>
      <c r="B330" s="11" t="str">
        <f aca="false">com.sun.star.sheet.addin.Analysis.getDec2Hex(2560+A330)</f>
        <v>B48</v>
      </c>
      <c r="C330" s="12"/>
      <c r="D330" s="96"/>
      <c r="E330" s="10"/>
      <c r="F330" s="10"/>
      <c r="G330" s="99"/>
      <c r="H330" s="96"/>
      <c r="I330" s="10"/>
      <c r="J330" s="10"/>
      <c r="K330" s="99"/>
    </row>
    <row r="331" customFormat="false" ht="13.8" hidden="false" customHeight="false" outlineLevel="0" collapsed="false">
      <c r="A331" s="10" t="n">
        <f aca="false">A330+1</f>
        <v>329</v>
      </c>
      <c r="B331" s="11" t="str">
        <f aca="false">com.sun.star.sheet.addin.Analysis.getDec2Hex(2560+A331)</f>
        <v>B49</v>
      </c>
      <c r="C331" s="12"/>
      <c r="D331" s="96"/>
      <c r="E331" s="10"/>
      <c r="F331" s="10"/>
      <c r="G331" s="99"/>
      <c r="H331" s="96"/>
      <c r="I331" s="10"/>
      <c r="J331" s="10"/>
      <c r="K331" s="99"/>
    </row>
    <row r="332" customFormat="false" ht="13.8" hidden="false" customHeight="false" outlineLevel="0" collapsed="false">
      <c r="A332" s="10" t="n">
        <f aca="false">A331+1</f>
        <v>330</v>
      </c>
      <c r="B332" s="11" t="str">
        <f aca="false">com.sun.star.sheet.addin.Analysis.getDec2Hex(2560+A332)</f>
        <v>B4A</v>
      </c>
      <c r="C332" s="12"/>
      <c r="D332" s="96"/>
      <c r="E332" s="10"/>
      <c r="F332" s="10"/>
      <c r="G332" s="99"/>
      <c r="H332" s="96"/>
      <c r="I332" s="10"/>
      <c r="J332" s="10"/>
      <c r="K332" s="99"/>
    </row>
    <row r="333" customFormat="false" ht="13.8" hidden="false" customHeight="false" outlineLevel="0" collapsed="false">
      <c r="A333" s="10" t="n">
        <f aca="false">A332+1</f>
        <v>331</v>
      </c>
      <c r="B333" s="11" t="str">
        <f aca="false">com.sun.star.sheet.addin.Analysis.getDec2Hex(2560+A333)</f>
        <v>B4B</v>
      </c>
      <c r="C333" s="12"/>
      <c r="D333" s="96"/>
      <c r="E333" s="10"/>
      <c r="F333" s="10"/>
      <c r="G333" s="99"/>
      <c r="H333" s="96"/>
      <c r="I333" s="10"/>
      <c r="J333" s="10"/>
      <c r="K333" s="99"/>
    </row>
    <row r="334" customFormat="false" ht="13.8" hidden="false" customHeight="false" outlineLevel="0" collapsed="false">
      <c r="A334" s="10" t="n">
        <f aca="false">A333+1</f>
        <v>332</v>
      </c>
      <c r="B334" s="11" t="str">
        <f aca="false">com.sun.star.sheet.addin.Analysis.getDec2Hex(2560+A334)</f>
        <v>B4C</v>
      </c>
      <c r="C334" s="12"/>
      <c r="D334" s="96"/>
      <c r="E334" s="10"/>
      <c r="F334" s="10"/>
      <c r="G334" s="99"/>
      <c r="H334" s="96"/>
      <c r="I334" s="10"/>
      <c r="J334" s="10"/>
      <c r="K334" s="99"/>
    </row>
    <row r="335" customFormat="false" ht="13.8" hidden="false" customHeight="false" outlineLevel="0" collapsed="false">
      <c r="A335" s="10" t="n">
        <f aca="false">A334+1</f>
        <v>333</v>
      </c>
      <c r="B335" s="11" t="str">
        <f aca="false">com.sun.star.sheet.addin.Analysis.getDec2Hex(2560+A335)</f>
        <v>B4D</v>
      </c>
      <c r="C335" s="12"/>
      <c r="D335" s="96"/>
      <c r="E335" s="10"/>
      <c r="F335" s="10"/>
      <c r="G335" s="99"/>
      <c r="H335" s="96"/>
      <c r="I335" s="10"/>
      <c r="J335" s="10"/>
      <c r="K335" s="99"/>
    </row>
    <row r="336" customFormat="false" ht="13.8" hidden="false" customHeight="false" outlineLevel="0" collapsed="false">
      <c r="A336" s="10" t="n">
        <f aca="false">A335+1</f>
        <v>334</v>
      </c>
      <c r="B336" s="11" t="str">
        <f aca="false">com.sun.star.sheet.addin.Analysis.getDec2Hex(2560+A336)</f>
        <v>B4E</v>
      </c>
      <c r="C336" s="12"/>
      <c r="D336" s="96"/>
      <c r="E336" s="10"/>
      <c r="F336" s="10"/>
      <c r="G336" s="99"/>
      <c r="H336" s="96"/>
      <c r="I336" s="10"/>
      <c r="J336" s="10"/>
      <c r="K336" s="99"/>
    </row>
    <row r="337" customFormat="false" ht="13.8" hidden="false" customHeight="false" outlineLevel="0" collapsed="false">
      <c r="A337" s="10" t="n">
        <f aca="false">A336+1</f>
        <v>335</v>
      </c>
      <c r="B337" s="11" t="str">
        <f aca="false">com.sun.star.sheet.addin.Analysis.getDec2Hex(2560+A337)</f>
        <v>B4F</v>
      </c>
      <c r="C337" s="12"/>
      <c r="D337" s="96"/>
      <c r="E337" s="10"/>
      <c r="F337" s="10"/>
      <c r="G337" s="99"/>
      <c r="H337" s="96"/>
      <c r="I337" s="10"/>
      <c r="J337" s="10"/>
      <c r="K337" s="99"/>
    </row>
    <row r="338" customFormat="false" ht="13.8" hidden="false" customHeight="false" outlineLevel="0" collapsed="false">
      <c r="A338" s="10" t="n">
        <f aca="false">A337+1</f>
        <v>336</v>
      </c>
      <c r="B338" s="11" t="str">
        <f aca="false">com.sun.star.sheet.addin.Analysis.getDec2Hex(2560+A338)</f>
        <v>B50</v>
      </c>
      <c r="C338" s="12"/>
      <c r="D338" s="96"/>
      <c r="E338" s="10"/>
      <c r="F338" s="10"/>
      <c r="G338" s="99"/>
      <c r="H338" s="96"/>
      <c r="I338" s="10"/>
      <c r="J338" s="10"/>
      <c r="K338" s="99"/>
    </row>
    <row r="339" customFormat="false" ht="13.8" hidden="false" customHeight="false" outlineLevel="0" collapsed="false">
      <c r="A339" s="10" t="n">
        <f aca="false">A338+1</f>
        <v>337</v>
      </c>
      <c r="B339" s="11" t="str">
        <f aca="false">com.sun.star.sheet.addin.Analysis.getDec2Hex(2560+A339)</f>
        <v>B51</v>
      </c>
      <c r="C339" s="12"/>
      <c r="D339" s="96"/>
      <c r="E339" s="10"/>
      <c r="F339" s="10"/>
      <c r="G339" s="99"/>
      <c r="H339" s="96"/>
      <c r="I339" s="10"/>
      <c r="J339" s="10"/>
      <c r="K339" s="99"/>
    </row>
    <row r="340" customFormat="false" ht="13.8" hidden="false" customHeight="false" outlineLevel="0" collapsed="false">
      <c r="A340" s="10" t="n">
        <f aca="false">A339+1</f>
        <v>338</v>
      </c>
      <c r="B340" s="11" t="str">
        <f aca="false">com.sun.star.sheet.addin.Analysis.getDec2Hex(2560+A340)</f>
        <v>B52</v>
      </c>
      <c r="C340" s="12"/>
      <c r="D340" s="96"/>
      <c r="E340" s="10"/>
      <c r="F340" s="10"/>
      <c r="G340" s="99"/>
      <c r="H340" s="96"/>
      <c r="I340" s="10"/>
      <c r="J340" s="10"/>
      <c r="K340" s="99"/>
    </row>
    <row r="341" customFormat="false" ht="13.8" hidden="false" customHeight="false" outlineLevel="0" collapsed="false">
      <c r="A341" s="10" t="n">
        <f aca="false">A340+1</f>
        <v>339</v>
      </c>
      <c r="B341" s="11" t="str">
        <f aca="false">com.sun.star.sheet.addin.Analysis.getDec2Hex(2560+A341)</f>
        <v>B53</v>
      </c>
      <c r="C341" s="12"/>
      <c r="D341" s="96"/>
      <c r="E341" s="10"/>
      <c r="F341" s="10"/>
      <c r="G341" s="99"/>
      <c r="H341" s="96"/>
      <c r="I341" s="10"/>
      <c r="J341" s="10"/>
      <c r="K341" s="99"/>
    </row>
    <row r="342" customFormat="false" ht="13.8" hidden="false" customHeight="false" outlineLevel="0" collapsed="false">
      <c r="A342" s="10" t="n">
        <f aca="false">A341+1</f>
        <v>340</v>
      </c>
      <c r="B342" s="11" t="str">
        <f aca="false">com.sun.star.sheet.addin.Analysis.getDec2Hex(2560+A342)</f>
        <v>B54</v>
      </c>
      <c r="C342" s="12"/>
      <c r="D342" s="96"/>
      <c r="E342" s="10"/>
      <c r="F342" s="10"/>
      <c r="G342" s="99"/>
      <c r="H342" s="96"/>
      <c r="I342" s="10"/>
      <c r="J342" s="10"/>
      <c r="K342" s="99"/>
    </row>
    <row r="343" customFormat="false" ht="13.8" hidden="false" customHeight="false" outlineLevel="0" collapsed="false">
      <c r="A343" s="10" t="n">
        <f aca="false">A342+1</f>
        <v>341</v>
      </c>
      <c r="B343" s="11" t="str">
        <f aca="false">com.sun.star.sheet.addin.Analysis.getDec2Hex(2560+A343)</f>
        <v>B55</v>
      </c>
      <c r="C343" s="12"/>
      <c r="D343" s="96"/>
      <c r="E343" s="10"/>
      <c r="F343" s="10"/>
      <c r="G343" s="99"/>
      <c r="H343" s="96"/>
      <c r="I343" s="10"/>
      <c r="J343" s="10"/>
      <c r="K343" s="99"/>
    </row>
    <row r="344" customFormat="false" ht="13.8" hidden="false" customHeight="false" outlineLevel="0" collapsed="false">
      <c r="A344" s="10" t="n">
        <f aca="false">A343+1</f>
        <v>342</v>
      </c>
      <c r="B344" s="11" t="str">
        <f aca="false">com.sun.star.sheet.addin.Analysis.getDec2Hex(2560+A344)</f>
        <v>B56</v>
      </c>
      <c r="C344" s="12"/>
      <c r="D344" s="96"/>
      <c r="E344" s="10"/>
      <c r="F344" s="10"/>
      <c r="G344" s="99"/>
      <c r="H344" s="96"/>
      <c r="I344" s="10"/>
      <c r="J344" s="10"/>
      <c r="K344" s="99"/>
    </row>
    <row r="345" customFormat="false" ht="13.8" hidden="false" customHeight="false" outlineLevel="0" collapsed="false">
      <c r="A345" s="10" t="n">
        <f aca="false">A344+1</f>
        <v>343</v>
      </c>
      <c r="B345" s="11" t="str">
        <f aca="false">com.sun.star.sheet.addin.Analysis.getDec2Hex(2560+A345)</f>
        <v>B57</v>
      </c>
      <c r="C345" s="12"/>
      <c r="D345" s="96"/>
      <c r="E345" s="10"/>
      <c r="F345" s="10"/>
      <c r="G345" s="99"/>
      <c r="H345" s="96"/>
      <c r="I345" s="10"/>
      <c r="J345" s="10"/>
      <c r="K345" s="99"/>
    </row>
    <row r="346" customFormat="false" ht="13.8" hidden="false" customHeight="false" outlineLevel="0" collapsed="false">
      <c r="A346" s="10" t="n">
        <f aca="false">A345+1</f>
        <v>344</v>
      </c>
      <c r="B346" s="11" t="str">
        <f aca="false">com.sun.star.sheet.addin.Analysis.getDec2Hex(2560+A346)</f>
        <v>B58</v>
      </c>
      <c r="C346" s="12"/>
      <c r="D346" s="96"/>
      <c r="E346" s="10"/>
      <c r="F346" s="10"/>
      <c r="G346" s="99"/>
      <c r="H346" s="96"/>
      <c r="I346" s="10"/>
      <c r="J346" s="10"/>
      <c r="K346" s="99"/>
    </row>
    <row r="347" customFormat="false" ht="13.8" hidden="false" customHeight="false" outlineLevel="0" collapsed="false">
      <c r="A347" s="10" t="n">
        <f aca="false">A346+1</f>
        <v>345</v>
      </c>
      <c r="B347" s="11" t="str">
        <f aca="false">com.sun.star.sheet.addin.Analysis.getDec2Hex(2560+A347)</f>
        <v>B59</v>
      </c>
      <c r="C347" s="12"/>
      <c r="D347" s="96"/>
      <c r="E347" s="10"/>
      <c r="F347" s="10"/>
      <c r="G347" s="99"/>
      <c r="H347" s="96"/>
      <c r="I347" s="10"/>
      <c r="J347" s="10"/>
      <c r="K347" s="99"/>
    </row>
    <row r="348" customFormat="false" ht="13.8" hidden="false" customHeight="false" outlineLevel="0" collapsed="false">
      <c r="A348" s="10" t="n">
        <f aca="false">A347+1</f>
        <v>346</v>
      </c>
      <c r="B348" s="11" t="str">
        <f aca="false">com.sun.star.sheet.addin.Analysis.getDec2Hex(2560+A348)</f>
        <v>B5A</v>
      </c>
      <c r="C348" s="12"/>
      <c r="D348" s="96"/>
      <c r="E348" s="10"/>
      <c r="F348" s="10"/>
      <c r="G348" s="99"/>
      <c r="H348" s="96"/>
      <c r="I348" s="10"/>
      <c r="J348" s="10"/>
      <c r="K348" s="99"/>
    </row>
    <row r="349" customFormat="false" ht="13.8" hidden="false" customHeight="false" outlineLevel="0" collapsed="false">
      <c r="A349" s="10" t="n">
        <f aca="false">A348+1</f>
        <v>347</v>
      </c>
      <c r="B349" s="11" t="str">
        <f aca="false">com.sun.star.sheet.addin.Analysis.getDec2Hex(2560+A349)</f>
        <v>B5B</v>
      </c>
      <c r="C349" s="12"/>
      <c r="D349" s="96"/>
      <c r="E349" s="10"/>
      <c r="F349" s="10"/>
      <c r="G349" s="99"/>
      <c r="H349" s="96"/>
      <c r="I349" s="10"/>
      <c r="J349" s="10"/>
      <c r="K349" s="99"/>
    </row>
    <row r="350" customFormat="false" ht="13.8" hidden="false" customHeight="false" outlineLevel="0" collapsed="false">
      <c r="A350" s="10" t="n">
        <f aca="false">A349+1</f>
        <v>348</v>
      </c>
      <c r="B350" s="11" t="str">
        <f aca="false">com.sun.star.sheet.addin.Analysis.getDec2Hex(2560+A350)</f>
        <v>B5C</v>
      </c>
      <c r="C350" s="12"/>
      <c r="D350" s="96"/>
      <c r="E350" s="10"/>
      <c r="F350" s="10"/>
      <c r="G350" s="99"/>
      <c r="H350" s="96"/>
      <c r="I350" s="10"/>
      <c r="J350" s="10"/>
      <c r="K350" s="99"/>
    </row>
    <row r="351" customFormat="false" ht="13.8" hidden="false" customHeight="false" outlineLevel="0" collapsed="false">
      <c r="A351" s="10" t="n">
        <f aca="false">A350+1</f>
        <v>349</v>
      </c>
      <c r="B351" s="11" t="str">
        <f aca="false">com.sun.star.sheet.addin.Analysis.getDec2Hex(2560+A351)</f>
        <v>B5D</v>
      </c>
      <c r="C351" s="12"/>
      <c r="D351" s="96"/>
      <c r="E351" s="10"/>
      <c r="F351" s="10"/>
      <c r="G351" s="99"/>
      <c r="H351" s="96"/>
      <c r="I351" s="10"/>
      <c r="J351" s="10"/>
      <c r="K351" s="99"/>
    </row>
    <row r="352" customFormat="false" ht="13.8" hidden="false" customHeight="false" outlineLevel="0" collapsed="false">
      <c r="A352" s="10" t="n">
        <f aca="false">A351+1</f>
        <v>350</v>
      </c>
      <c r="B352" s="11" t="str">
        <f aca="false">com.sun.star.sheet.addin.Analysis.getDec2Hex(2560+A352)</f>
        <v>B5E</v>
      </c>
      <c r="C352" s="12"/>
      <c r="D352" s="96"/>
      <c r="E352" s="10"/>
      <c r="F352" s="10"/>
      <c r="G352" s="99"/>
      <c r="H352" s="96"/>
      <c r="I352" s="10"/>
      <c r="J352" s="10"/>
      <c r="K352" s="99"/>
    </row>
    <row r="353" customFormat="false" ht="13.8" hidden="false" customHeight="false" outlineLevel="0" collapsed="false">
      <c r="A353" s="10" t="n">
        <f aca="false">A352+1</f>
        <v>351</v>
      </c>
      <c r="B353" s="11" t="str">
        <f aca="false">com.sun.star.sheet.addin.Analysis.getDec2Hex(2560+A353)</f>
        <v>B5F</v>
      </c>
      <c r="C353" s="12"/>
      <c r="D353" s="96"/>
      <c r="E353" s="10"/>
      <c r="F353" s="10"/>
      <c r="G353" s="99"/>
      <c r="H353" s="96"/>
      <c r="I353" s="10"/>
      <c r="J353" s="10"/>
      <c r="K353" s="99"/>
    </row>
    <row r="354" customFormat="false" ht="13.8" hidden="false" customHeight="false" outlineLevel="0" collapsed="false">
      <c r="A354" s="10" t="n">
        <f aca="false">A353+1</f>
        <v>352</v>
      </c>
      <c r="B354" s="11" t="str">
        <f aca="false">com.sun.star.sheet.addin.Analysis.getDec2Hex(2560+A354)</f>
        <v>B60</v>
      </c>
      <c r="C354" s="12"/>
      <c r="D354" s="96"/>
      <c r="E354" s="10"/>
      <c r="F354" s="10"/>
      <c r="G354" s="99"/>
      <c r="H354" s="96"/>
      <c r="I354" s="10"/>
      <c r="J354" s="10"/>
      <c r="K354" s="99"/>
    </row>
    <row r="355" customFormat="false" ht="13.8" hidden="false" customHeight="false" outlineLevel="0" collapsed="false">
      <c r="A355" s="10" t="n">
        <f aca="false">A354+1</f>
        <v>353</v>
      </c>
      <c r="B355" s="11" t="str">
        <f aca="false">com.sun.star.sheet.addin.Analysis.getDec2Hex(2560+A355)</f>
        <v>B61</v>
      </c>
      <c r="C355" s="12"/>
      <c r="D355" s="96"/>
      <c r="E355" s="10"/>
      <c r="F355" s="10"/>
      <c r="G355" s="99"/>
      <c r="H355" s="96"/>
      <c r="I355" s="10"/>
      <c r="J355" s="10"/>
      <c r="K355" s="99"/>
    </row>
    <row r="356" customFormat="false" ht="13.8" hidden="false" customHeight="false" outlineLevel="0" collapsed="false">
      <c r="A356" s="10" t="n">
        <f aca="false">A355+1</f>
        <v>354</v>
      </c>
      <c r="B356" s="11" t="str">
        <f aca="false">com.sun.star.sheet.addin.Analysis.getDec2Hex(2560+A356)</f>
        <v>B62</v>
      </c>
      <c r="C356" s="12"/>
      <c r="D356" s="96"/>
      <c r="E356" s="10"/>
      <c r="F356" s="10"/>
      <c r="G356" s="99"/>
      <c r="H356" s="96"/>
      <c r="I356" s="10"/>
      <c r="J356" s="10"/>
      <c r="K356" s="99"/>
    </row>
    <row r="357" customFormat="false" ht="13.8" hidden="false" customHeight="false" outlineLevel="0" collapsed="false">
      <c r="A357" s="10" t="n">
        <f aca="false">A356+1</f>
        <v>355</v>
      </c>
      <c r="B357" s="11" t="str">
        <f aca="false">com.sun.star.sheet.addin.Analysis.getDec2Hex(2560+A357)</f>
        <v>B63</v>
      </c>
      <c r="C357" s="12"/>
      <c r="D357" s="96"/>
      <c r="E357" s="10"/>
      <c r="F357" s="10"/>
      <c r="G357" s="99"/>
      <c r="H357" s="96"/>
      <c r="I357" s="10"/>
      <c r="J357" s="10"/>
      <c r="K357" s="99"/>
    </row>
    <row r="358" customFormat="false" ht="13.8" hidden="false" customHeight="false" outlineLevel="0" collapsed="false">
      <c r="A358" s="10" t="n">
        <f aca="false">A357+1</f>
        <v>356</v>
      </c>
      <c r="B358" s="11" t="str">
        <f aca="false">com.sun.star.sheet.addin.Analysis.getDec2Hex(2560+A358)</f>
        <v>B64</v>
      </c>
      <c r="C358" s="12"/>
      <c r="D358" s="96"/>
      <c r="E358" s="10"/>
      <c r="F358" s="10"/>
      <c r="G358" s="99"/>
      <c r="H358" s="96"/>
      <c r="I358" s="10"/>
      <c r="J358" s="10"/>
      <c r="K358" s="99"/>
    </row>
    <row r="359" customFormat="false" ht="13.8" hidden="false" customHeight="false" outlineLevel="0" collapsed="false">
      <c r="A359" s="10" t="n">
        <f aca="false">A358+1</f>
        <v>357</v>
      </c>
      <c r="B359" s="11" t="str">
        <f aca="false">com.sun.star.sheet.addin.Analysis.getDec2Hex(2560+A359)</f>
        <v>B65</v>
      </c>
      <c r="C359" s="12"/>
      <c r="D359" s="96"/>
      <c r="E359" s="10"/>
      <c r="F359" s="10"/>
      <c r="G359" s="99"/>
      <c r="H359" s="96"/>
      <c r="I359" s="10"/>
      <c r="J359" s="10"/>
      <c r="K359" s="99"/>
    </row>
    <row r="360" customFormat="false" ht="13.8" hidden="false" customHeight="false" outlineLevel="0" collapsed="false">
      <c r="A360" s="10" t="n">
        <f aca="false">A359+1</f>
        <v>358</v>
      </c>
      <c r="B360" s="11" t="str">
        <f aca="false">com.sun.star.sheet.addin.Analysis.getDec2Hex(2560+A360)</f>
        <v>B66</v>
      </c>
      <c r="C360" s="12"/>
      <c r="D360" s="96"/>
      <c r="E360" s="10"/>
      <c r="F360" s="10"/>
      <c r="G360" s="99"/>
      <c r="H360" s="96"/>
      <c r="I360" s="10"/>
      <c r="J360" s="10"/>
      <c r="K360" s="99"/>
    </row>
    <row r="361" customFormat="false" ht="13.8" hidden="false" customHeight="false" outlineLevel="0" collapsed="false">
      <c r="A361" s="10" t="n">
        <f aca="false">A360+1</f>
        <v>359</v>
      </c>
      <c r="B361" s="11" t="str">
        <f aca="false">com.sun.star.sheet.addin.Analysis.getDec2Hex(2560+A361)</f>
        <v>B67</v>
      </c>
      <c r="C361" s="12"/>
      <c r="D361" s="96"/>
      <c r="E361" s="10"/>
      <c r="F361" s="10"/>
      <c r="G361" s="99"/>
      <c r="H361" s="96"/>
      <c r="I361" s="10"/>
      <c r="J361" s="10"/>
      <c r="K361" s="99"/>
    </row>
    <row r="362" customFormat="false" ht="13.8" hidden="false" customHeight="false" outlineLevel="0" collapsed="false">
      <c r="A362" s="10" t="n">
        <f aca="false">A361+1</f>
        <v>360</v>
      </c>
      <c r="B362" s="11" t="str">
        <f aca="false">com.sun.star.sheet.addin.Analysis.getDec2Hex(2560+A362)</f>
        <v>B68</v>
      </c>
      <c r="C362" s="12"/>
      <c r="D362" s="96"/>
      <c r="E362" s="10"/>
      <c r="F362" s="10"/>
      <c r="G362" s="99"/>
      <c r="H362" s="96"/>
      <c r="I362" s="10"/>
      <c r="J362" s="10"/>
      <c r="K362" s="99"/>
    </row>
    <row r="363" customFormat="false" ht="13.8" hidden="false" customHeight="false" outlineLevel="0" collapsed="false">
      <c r="A363" s="10" t="n">
        <f aca="false">A362+1</f>
        <v>361</v>
      </c>
      <c r="B363" s="11" t="str">
        <f aca="false">com.sun.star.sheet.addin.Analysis.getDec2Hex(2560+A363)</f>
        <v>B69</v>
      </c>
      <c r="C363" s="12"/>
      <c r="D363" s="96"/>
      <c r="E363" s="10"/>
      <c r="F363" s="10"/>
      <c r="G363" s="99"/>
      <c r="H363" s="96"/>
      <c r="I363" s="10"/>
      <c r="J363" s="10"/>
      <c r="K363" s="99"/>
    </row>
    <row r="364" customFormat="false" ht="13.8" hidden="false" customHeight="false" outlineLevel="0" collapsed="false">
      <c r="A364" s="10" t="n">
        <f aca="false">A363+1</f>
        <v>362</v>
      </c>
      <c r="B364" s="11" t="str">
        <f aca="false">com.sun.star.sheet.addin.Analysis.getDec2Hex(2560+A364)</f>
        <v>B6A</v>
      </c>
      <c r="C364" s="12"/>
      <c r="D364" s="96"/>
      <c r="E364" s="10"/>
      <c r="F364" s="10"/>
      <c r="G364" s="99"/>
      <c r="H364" s="96"/>
      <c r="I364" s="10"/>
      <c r="J364" s="10"/>
      <c r="K364" s="99"/>
    </row>
    <row r="365" customFormat="false" ht="13.8" hidden="false" customHeight="false" outlineLevel="0" collapsed="false">
      <c r="A365" s="10" t="n">
        <f aca="false">A364+1</f>
        <v>363</v>
      </c>
      <c r="B365" s="11" t="str">
        <f aca="false">com.sun.star.sheet.addin.Analysis.getDec2Hex(2560+A365)</f>
        <v>B6B</v>
      </c>
      <c r="C365" s="12"/>
      <c r="D365" s="96"/>
      <c r="E365" s="10"/>
      <c r="F365" s="10"/>
      <c r="G365" s="99"/>
      <c r="H365" s="96"/>
      <c r="I365" s="10"/>
      <c r="J365" s="10"/>
      <c r="K365" s="99"/>
    </row>
    <row r="366" customFormat="false" ht="13.8" hidden="false" customHeight="false" outlineLevel="0" collapsed="false">
      <c r="A366" s="10" t="n">
        <f aca="false">A365+1</f>
        <v>364</v>
      </c>
      <c r="B366" s="11" t="str">
        <f aca="false">com.sun.star.sheet.addin.Analysis.getDec2Hex(2560+A366)</f>
        <v>B6C</v>
      </c>
      <c r="C366" s="12"/>
      <c r="D366" s="96"/>
      <c r="E366" s="10"/>
      <c r="F366" s="10"/>
      <c r="G366" s="99"/>
      <c r="H366" s="96"/>
      <c r="I366" s="10"/>
      <c r="J366" s="10"/>
      <c r="K366" s="99"/>
    </row>
    <row r="367" customFormat="false" ht="13.8" hidden="false" customHeight="false" outlineLevel="0" collapsed="false">
      <c r="A367" s="10" t="n">
        <f aca="false">A366+1</f>
        <v>365</v>
      </c>
      <c r="B367" s="11" t="str">
        <f aca="false">com.sun.star.sheet.addin.Analysis.getDec2Hex(2560+A367)</f>
        <v>B6D</v>
      </c>
      <c r="C367" s="12"/>
      <c r="D367" s="96"/>
      <c r="E367" s="10"/>
      <c r="F367" s="10"/>
      <c r="G367" s="99"/>
      <c r="H367" s="96"/>
      <c r="I367" s="10"/>
      <c r="J367" s="10"/>
      <c r="K367" s="99"/>
    </row>
    <row r="368" customFormat="false" ht="13.8" hidden="false" customHeight="false" outlineLevel="0" collapsed="false">
      <c r="A368" s="10" t="n">
        <f aca="false">A367+1</f>
        <v>366</v>
      </c>
      <c r="B368" s="11" t="str">
        <f aca="false">com.sun.star.sheet.addin.Analysis.getDec2Hex(2560+A368)</f>
        <v>B6E</v>
      </c>
      <c r="C368" s="12"/>
      <c r="D368" s="96"/>
      <c r="E368" s="10"/>
      <c r="F368" s="10"/>
      <c r="G368" s="99"/>
      <c r="H368" s="96"/>
      <c r="I368" s="10"/>
      <c r="J368" s="10"/>
      <c r="K368" s="99"/>
    </row>
    <row r="369" customFormat="false" ht="13.8" hidden="false" customHeight="false" outlineLevel="0" collapsed="false">
      <c r="A369" s="10" t="n">
        <f aca="false">A368+1</f>
        <v>367</v>
      </c>
      <c r="B369" s="11" t="str">
        <f aca="false">com.sun.star.sheet.addin.Analysis.getDec2Hex(2560+A369)</f>
        <v>B6F</v>
      </c>
      <c r="C369" s="12"/>
      <c r="D369" s="96"/>
      <c r="E369" s="10"/>
      <c r="F369" s="10"/>
      <c r="G369" s="99"/>
      <c r="H369" s="96"/>
      <c r="I369" s="10"/>
      <c r="J369" s="10"/>
      <c r="K369" s="99"/>
    </row>
    <row r="370" customFormat="false" ht="13.8" hidden="false" customHeight="false" outlineLevel="0" collapsed="false">
      <c r="A370" s="10" t="n">
        <f aca="false">A369+1</f>
        <v>368</v>
      </c>
      <c r="B370" s="11" t="str">
        <f aca="false">com.sun.star.sheet.addin.Analysis.getDec2Hex(2560+A370)</f>
        <v>B70</v>
      </c>
      <c r="C370" s="12"/>
      <c r="D370" s="96"/>
      <c r="E370" s="10"/>
      <c r="F370" s="10"/>
      <c r="G370" s="99"/>
      <c r="H370" s="96"/>
      <c r="I370" s="10"/>
      <c r="J370" s="10"/>
      <c r="K370" s="99"/>
    </row>
    <row r="371" customFormat="false" ht="13.8" hidden="false" customHeight="false" outlineLevel="0" collapsed="false">
      <c r="A371" s="10" t="n">
        <f aca="false">A370+1</f>
        <v>369</v>
      </c>
      <c r="B371" s="11" t="str">
        <f aca="false">com.sun.star.sheet.addin.Analysis.getDec2Hex(2560+A371)</f>
        <v>B71</v>
      </c>
      <c r="C371" s="12"/>
      <c r="D371" s="96"/>
      <c r="E371" s="10"/>
      <c r="F371" s="10"/>
      <c r="G371" s="99"/>
      <c r="H371" s="96"/>
      <c r="I371" s="10"/>
      <c r="J371" s="10"/>
      <c r="K371" s="99"/>
    </row>
    <row r="372" customFormat="false" ht="13.8" hidden="false" customHeight="false" outlineLevel="0" collapsed="false">
      <c r="A372" s="10" t="n">
        <f aca="false">A371+1</f>
        <v>370</v>
      </c>
      <c r="B372" s="11" t="str">
        <f aca="false">com.sun.star.sheet.addin.Analysis.getDec2Hex(2560+A372)</f>
        <v>B72</v>
      </c>
      <c r="C372" s="12"/>
      <c r="D372" s="96"/>
      <c r="E372" s="10"/>
      <c r="F372" s="10"/>
      <c r="G372" s="99"/>
      <c r="H372" s="96"/>
      <c r="I372" s="10"/>
      <c r="J372" s="10"/>
      <c r="K372" s="99"/>
    </row>
    <row r="373" customFormat="false" ht="13.8" hidden="false" customHeight="false" outlineLevel="0" collapsed="false">
      <c r="A373" s="10" t="n">
        <f aca="false">A372+1</f>
        <v>371</v>
      </c>
      <c r="B373" s="11" t="str">
        <f aca="false">com.sun.star.sheet.addin.Analysis.getDec2Hex(2560+A373)</f>
        <v>B73</v>
      </c>
      <c r="C373" s="12"/>
      <c r="D373" s="96"/>
      <c r="E373" s="10"/>
      <c r="F373" s="10"/>
      <c r="G373" s="99"/>
      <c r="H373" s="96"/>
      <c r="I373" s="10"/>
      <c r="J373" s="10"/>
      <c r="K373" s="99"/>
    </row>
    <row r="374" customFormat="false" ht="13.8" hidden="false" customHeight="false" outlineLevel="0" collapsed="false">
      <c r="A374" s="10" t="n">
        <f aca="false">A373+1</f>
        <v>372</v>
      </c>
      <c r="B374" s="11" t="str">
        <f aca="false">com.sun.star.sheet.addin.Analysis.getDec2Hex(2560+A374)</f>
        <v>B74</v>
      </c>
      <c r="C374" s="12"/>
      <c r="D374" s="96"/>
      <c r="E374" s="10"/>
      <c r="F374" s="10"/>
      <c r="G374" s="99"/>
      <c r="H374" s="96"/>
      <c r="I374" s="10"/>
      <c r="J374" s="10"/>
      <c r="K374" s="99"/>
    </row>
    <row r="375" customFormat="false" ht="13.8" hidden="false" customHeight="false" outlineLevel="0" collapsed="false">
      <c r="A375" s="10" t="n">
        <f aca="false">A374+1</f>
        <v>373</v>
      </c>
      <c r="B375" s="11" t="str">
        <f aca="false">com.sun.star.sheet.addin.Analysis.getDec2Hex(2560+A375)</f>
        <v>B75</v>
      </c>
      <c r="C375" s="12"/>
      <c r="D375" s="96"/>
      <c r="E375" s="10"/>
      <c r="F375" s="10"/>
      <c r="G375" s="99"/>
      <c r="H375" s="96"/>
      <c r="I375" s="10"/>
      <c r="J375" s="10"/>
      <c r="K375" s="99"/>
    </row>
    <row r="376" customFormat="false" ht="13.8" hidden="false" customHeight="false" outlineLevel="0" collapsed="false">
      <c r="A376" s="10" t="n">
        <f aca="false">A375+1</f>
        <v>374</v>
      </c>
      <c r="B376" s="11" t="str">
        <f aca="false">com.sun.star.sheet.addin.Analysis.getDec2Hex(2560+A376)</f>
        <v>B76</v>
      </c>
      <c r="C376" s="12"/>
      <c r="D376" s="96"/>
      <c r="E376" s="10"/>
      <c r="F376" s="10"/>
      <c r="G376" s="99"/>
      <c r="H376" s="96"/>
      <c r="I376" s="10"/>
      <c r="J376" s="10"/>
      <c r="K376" s="99"/>
    </row>
    <row r="377" customFormat="false" ht="13.8" hidden="false" customHeight="false" outlineLevel="0" collapsed="false">
      <c r="A377" s="10" t="n">
        <f aca="false">A376+1</f>
        <v>375</v>
      </c>
      <c r="B377" s="11" t="str">
        <f aca="false">com.sun.star.sheet.addin.Analysis.getDec2Hex(2560+A377)</f>
        <v>B77</v>
      </c>
      <c r="C377" s="12"/>
      <c r="D377" s="96"/>
      <c r="E377" s="10"/>
      <c r="F377" s="10"/>
      <c r="G377" s="99"/>
      <c r="H377" s="96"/>
      <c r="I377" s="10"/>
      <c r="J377" s="10"/>
      <c r="K377" s="99"/>
    </row>
    <row r="378" customFormat="false" ht="13.8" hidden="false" customHeight="false" outlineLevel="0" collapsed="false">
      <c r="A378" s="10" t="n">
        <f aca="false">A377+1</f>
        <v>376</v>
      </c>
      <c r="B378" s="11" t="str">
        <f aca="false">com.sun.star.sheet.addin.Analysis.getDec2Hex(2560+A378)</f>
        <v>B78</v>
      </c>
      <c r="C378" s="12"/>
      <c r="D378" s="96"/>
      <c r="E378" s="10"/>
      <c r="F378" s="10"/>
      <c r="G378" s="99"/>
      <c r="H378" s="96"/>
      <c r="I378" s="10"/>
      <c r="J378" s="10"/>
      <c r="K378" s="99"/>
    </row>
    <row r="379" customFormat="false" ht="13.8" hidden="false" customHeight="false" outlineLevel="0" collapsed="false">
      <c r="A379" s="10" t="n">
        <f aca="false">A378+1</f>
        <v>377</v>
      </c>
      <c r="B379" s="11" t="str">
        <f aca="false">com.sun.star.sheet.addin.Analysis.getDec2Hex(2560+A379)</f>
        <v>B79</v>
      </c>
      <c r="C379" s="12"/>
      <c r="D379" s="96"/>
      <c r="E379" s="10"/>
      <c r="F379" s="10"/>
      <c r="G379" s="99"/>
      <c r="H379" s="96"/>
      <c r="I379" s="10"/>
      <c r="J379" s="10"/>
      <c r="K379" s="99"/>
    </row>
    <row r="380" customFormat="false" ht="13.8" hidden="false" customHeight="false" outlineLevel="0" collapsed="false">
      <c r="A380" s="10" t="n">
        <f aca="false">A379+1</f>
        <v>378</v>
      </c>
      <c r="B380" s="11" t="str">
        <f aca="false">com.sun.star.sheet.addin.Analysis.getDec2Hex(2560+A380)</f>
        <v>B7A</v>
      </c>
      <c r="C380" s="12"/>
      <c r="D380" s="96"/>
      <c r="E380" s="10"/>
      <c r="F380" s="10"/>
      <c r="G380" s="99"/>
      <c r="H380" s="96"/>
      <c r="I380" s="10"/>
      <c r="J380" s="10"/>
      <c r="K380" s="99"/>
    </row>
    <row r="381" customFormat="false" ht="13.8" hidden="false" customHeight="false" outlineLevel="0" collapsed="false">
      <c r="A381" s="10" t="n">
        <f aca="false">A380+1</f>
        <v>379</v>
      </c>
      <c r="B381" s="11" t="str">
        <f aca="false">com.sun.star.sheet.addin.Analysis.getDec2Hex(2560+A381)</f>
        <v>B7B</v>
      </c>
      <c r="C381" s="12"/>
      <c r="D381" s="96"/>
      <c r="E381" s="10"/>
      <c r="F381" s="10"/>
      <c r="G381" s="99"/>
      <c r="H381" s="96"/>
      <c r="I381" s="10"/>
      <c r="J381" s="10"/>
      <c r="K381" s="99"/>
    </row>
    <row r="382" customFormat="false" ht="13.8" hidden="false" customHeight="false" outlineLevel="0" collapsed="false">
      <c r="A382" s="10" t="n">
        <f aca="false">A381+1</f>
        <v>380</v>
      </c>
      <c r="B382" s="11" t="str">
        <f aca="false">com.sun.star.sheet.addin.Analysis.getDec2Hex(2560+A382)</f>
        <v>B7C</v>
      </c>
      <c r="C382" s="12"/>
      <c r="D382" s="96"/>
      <c r="E382" s="10"/>
      <c r="F382" s="10"/>
      <c r="G382" s="99"/>
      <c r="H382" s="96"/>
      <c r="I382" s="10"/>
      <c r="J382" s="10"/>
      <c r="K382" s="99"/>
    </row>
    <row r="383" customFormat="false" ht="13.8" hidden="false" customHeight="false" outlineLevel="0" collapsed="false">
      <c r="A383" s="10" t="n">
        <f aca="false">A382+1</f>
        <v>381</v>
      </c>
      <c r="B383" s="11" t="str">
        <f aca="false">com.sun.star.sheet.addin.Analysis.getDec2Hex(2560+A383)</f>
        <v>B7D</v>
      </c>
      <c r="C383" s="12"/>
      <c r="D383" s="96"/>
      <c r="E383" s="10"/>
      <c r="F383" s="10"/>
      <c r="G383" s="99"/>
      <c r="H383" s="96"/>
      <c r="I383" s="10"/>
      <c r="J383" s="10"/>
      <c r="K383" s="99"/>
    </row>
    <row r="384" customFormat="false" ht="13.8" hidden="false" customHeight="false" outlineLevel="0" collapsed="false">
      <c r="A384" s="10" t="n">
        <f aca="false">A383+1</f>
        <v>382</v>
      </c>
      <c r="B384" s="11" t="str">
        <f aca="false">com.sun.star.sheet.addin.Analysis.getDec2Hex(2560+A384)</f>
        <v>B7E</v>
      </c>
      <c r="C384" s="12"/>
      <c r="D384" s="96"/>
      <c r="E384" s="10"/>
      <c r="F384" s="10"/>
      <c r="G384" s="99"/>
      <c r="H384" s="96"/>
      <c r="I384" s="10"/>
      <c r="J384" s="10"/>
      <c r="K384" s="99"/>
    </row>
    <row r="385" customFormat="false" ht="13.8" hidden="false" customHeight="false" outlineLevel="0" collapsed="false">
      <c r="A385" s="10" t="n">
        <f aca="false">A384+1</f>
        <v>383</v>
      </c>
      <c r="B385" s="11" t="str">
        <f aca="false">com.sun.star.sheet.addin.Analysis.getDec2Hex(2560+A385)</f>
        <v>B7F</v>
      </c>
      <c r="C385" s="12"/>
      <c r="D385" s="96"/>
      <c r="E385" s="10"/>
      <c r="F385" s="10"/>
      <c r="G385" s="99"/>
      <c r="H385" s="96"/>
      <c r="I385" s="10"/>
      <c r="J385" s="10"/>
      <c r="K385" s="99"/>
    </row>
    <row r="386" customFormat="false" ht="13.8" hidden="false" customHeight="false" outlineLevel="0" collapsed="false">
      <c r="A386" s="10" t="n">
        <f aca="false">A385+1</f>
        <v>384</v>
      </c>
      <c r="B386" s="11" t="str">
        <f aca="false">com.sun.star.sheet.addin.Analysis.getDec2Hex(2560+A386)</f>
        <v>B80</v>
      </c>
      <c r="C386" s="12"/>
      <c r="D386" s="96"/>
      <c r="E386" s="10"/>
      <c r="F386" s="10"/>
      <c r="G386" s="99"/>
      <c r="H386" s="96"/>
      <c r="I386" s="10"/>
      <c r="J386" s="10"/>
      <c r="K386" s="99"/>
    </row>
    <row r="387" customFormat="false" ht="13.8" hidden="false" customHeight="false" outlineLevel="0" collapsed="false">
      <c r="A387" s="10" t="n">
        <f aca="false">A386+1</f>
        <v>385</v>
      </c>
      <c r="B387" s="11" t="str">
        <f aca="false">com.sun.star.sheet.addin.Analysis.getDec2Hex(2560+A387)</f>
        <v>B81</v>
      </c>
      <c r="C387" s="12"/>
      <c r="D387" s="96"/>
      <c r="E387" s="10"/>
      <c r="F387" s="10"/>
      <c r="G387" s="99"/>
      <c r="H387" s="96"/>
      <c r="I387" s="10"/>
      <c r="J387" s="10"/>
      <c r="K387" s="99"/>
    </row>
    <row r="388" customFormat="false" ht="13.8" hidden="false" customHeight="false" outlineLevel="0" collapsed="false">
      <c r="A388" s="10" t="n">
        <f aca="false">A387+1</f>
        <v>386</v>
      </c>
      <c r="B388" s="11" t="str">
        <f aca="false">com.sun.star.sheet.addin.Analysis.getDec2Hex(2560+A388)</f>
        <v>B82</v>
      </c>
      <c r="C388" s="12"/>
      <c r="D388" s="96"/>
      <c r="E388" s="10"/>
      <c r="F388" s="10"/>
      <c r="G388" s="99"/>
      <c r="H388" s="96"/>
      <c r="I388" s="10"/>
      <c r="J388" s="10"/>
      <c r="K388" s="99"/>
    </row>
    <row r="389" customFormat="false" ht="13.8" hidden="false" customHeight="false" outlineLevel="0" collapsed="false">
      <c r="A389" s="10" t="n">
        <f aca="false">A388+1</f>
        <v>387</v>
      </c>
      <c r="B389" s="11" t="str">
        <f aca="false">com.sun.star.sheet.addin.Analysis.getDec2Hex(2560+A389)</f>
        <v>B83</v>
      </c>
      <c r="C389" s="12"/>
      <c r="D389" s="96"/>
      <c r="E389" s="10"/>
      <c r="F389" s="10"/>
      <c r="G389" s="99"/>
      <c r="H389" s="96"/>
      <c r="I389" s="10"/>
      <c r="J389" s="10"/>
      <c r="K389" s="99"/>
    </row>
    <row r="390" customFormat="false" ht="13.8" hidden="false" customHeight="false" outlineLevel="0" collapsed="false">
      <c r="A390" s="10" t="n">
        <f aca="false">A389+1</f>
        <v>388</v>
      </c>
      <c r="B390" s="11" t="str">
        <f aca="false">com.sun.star.sheet.addin.Analysis.getDec2Hex(2560+A390)</f>
        <v>B84</v>
      </c>
      <c r="C390" s="12"/>
      <c r="D390" s="96"/>
      <c r="E390" s="10"/>
      <c r="F390" s="10"/>
      <c r="G390" s="99"/>
      <c r="H390" s="96"/>
      <c r="I390" s="10"/>
      <c r="J390" s="10"/>
      <c r="K390" s="99"/>
    </row>
    <row r="391" customFormat="false" ht="13.8" hidden="false" customHeight="false" outlineLevel="0" collapsed="false">
      <c r="A391" s="10" t="n">
        <f aca="false">A390+1</f>
        <v>389</v>
      </c>
      <c r="B391" s="11" t="str">
        <f aca="false">com.sun.star.sheet.addin.Analysis.getDec2Hex(2560+A391)</f>
        <v>B85</v>
      </c>
      <c r="C391" s="12"/>
      <c r="D391" s="96"/>
      <c r="E391" s="10"/>
      <c r="F391" s="10"/>
      <c r="G391" s="99"/>
      <c r="H391" s="96"/>
      <c r="I391" s="10"/>
      <c r="J391" s="10"/>
      <c r="K391" s="99"/>
    </row>
    <row r="392" customFormat="false" ht="13.8" hidden="false" customHeight="false" outlineLevel="0" collapsed="false">
      <c r="A392" s="10" t="n">
        <f aca="false">A391+1</f>
        <v>390</v>
      </c>
      <c r="B392" s="11" t="str">
        <f aca="false">com.sun.star.sheet.addin.Analysis.getDec2Hex(2560+A392)</f>
        <v>B86</v>
      </c>
      <c r="C392" s="12"/>
      <c r="D392" s="96"/>
      <c r="E392" s="10"/>
      <c r="F392" s="10"/>
      <c r="G392" s="99"/>
      <c r="H392" s="96"/>
      <c r="I392" s="10"/>
      <c r="J392" s="10"/>
      <c r="K392" s="99"/>
    </row>
    <row r="393" customFormat="false" ht="13.8" hidden="false" customHeight="false" outlineLevel="0" collapsed="false">
      <c r="A393" s="10" t="n">
        <f aca="false">A392+1</f>
        <v>391</v>
      </c>
      <c r="B393" s="11" t="str">
        <f aca="false">com.sun.star.sheet.addin.Analysis.getDec2Hex(2560+A393)</f>
        <v>B87</v>
      </c>
      <c r="C393" s="12"/>
      <c r="D393" s="96"/>
      <c r="E393" s="10"/>
      <c r="F393" s="10"/>
      <c r="G393" s="99"/>
      <c r="H393" s="96"/>
      <c r="I393" s="10"/>
      <c r="J393" s="10"/>
      <c r="K393" s="99"/>
    </row>
    <row r="394" customFormat="false" ht="13.8" hidden="false" customHeight="false" outlineLevel="0" collapsed="false">
      <c r="A394" s="10" t="n">
        <f aca="false">A393+1</f>
        <v>392</v>
      </c>
      <c r="B394" s="11" t="str">
        <f aca="false">com.sun.star.sheet.addin.Analysis.getDec2Hex(2560+A394)</f>
        <v>B88</v>
      </c>
      <c r="C394" s="12"/>
      <c r="D394" s="96"/>
      <c r="E394" s="10"/>
      <c r="F394" s="10"/>
      <c r="G394" s="99"/>
      <c r="H394" s="96"/>
      <c r="I394" s="10"/>
      <c r="J394" s="10"/>
      <c r="K394" s="99"/>
    </row>
    <row r="395" customFormat="false" ht="13.8" hidden="false" customHeight="false" outlineLevel="0" collapsed="false">
      <c r="A395" s="10" t="n">
        <f aca="false">A394+1</f>
        <v>393</v>
      </c>
      <c r="B395" s="11" t="str">
        <f aca="false">com.sun.star.sheet.addin.Analysis.getDec2Hex(2560+A395)</f>
        <v>B89</v>
      </c>
      <c r="C395" s="12"/>
      <c r="D395" s="96"/>
      <c r="E395" s="10"/>
      <c r="F395" s="10"/>
      <c r="G395" s="99"/>
      <c r="H395" s="96"/>
      <c r="I395" s="10"/>
      <c r="J395" s="10"/>
      <c r="K395" s="99"/>
    </row>
    <row r="396" customFormat="false" ht="13.8" hidden="false" customHeight="false" outlineLevel="0" collapsed="false">
      <c r="A396" s="10" t="n">
        <f aca="false">A395+1</f>
        <v>394</v>
      </c>
      <c r="B396" s="11" t="str">
        <f aca="false">com.sun.star.sheet.addin.Analysis.getDec2Hex(2560+A396)</f>
        <v>B8A</v>
      </c>
      <c r="C396" s="12"/>
      <c r="D396" s="96"/>
      <c r="E396" s="10"/>
      <c r="F396" s="10"/>
      <c r="G396" s="99"/>
      <c r="H396" s="96"/>
      <c r="I396" s="10"/>
      <c r="J396" s="10"/>
      <c r="K396" s="99"/>
    </row>
    <row r="397" customFormat="false" ht="13.8" hidden="false" customHeight="false" outlineLevel="0" collapsed="false">
      <c r="A397" s="10" t="n">
        <f aca="false">A396+1</f>
        <v>395</v>
      </c>
      <c r="B397" s="11" t="str">
        <f aca="false">com.sun.star.sheet.addin.Analysis.getDec2Hex(2560+A397)</f>
        <v>B8B</v>
      </c>
      <c r="C397" s="12"/>
      <c r="D397" s="96"/>
      <c r="E397" s="10"/>
      <c r="F397" s="10"/>
      <c r="G397" s="99"/>
      <c r="H397" s="96"/>
      <c r="I397" s="10"/>
      <c r="J397" s="10"/>
      <c r="K397" s="99"/>
    </row>
    <row r="398" customFormat="false" ht="13.8" hidden="false" customHeight="false" outlineLevel="0" collapsed="false">
      <c r="A398" s="10" t="n">
        <f aca="false">A397+1</f>
        <v>396</v>
      </c>
      <c r="B398" s="11" t="str">
        <f aca="false">com.sun.star.sheet.addin.Analysis.getDec2Hex(2560+A398)</f>
        <v>B8C</v>
      </c>
      <c r="C398" s="12"/>
      <c r="D398" s="96"/>
      <c r="E398" s="10"/>
      <c r="F398" s="10"/>
      <c r="G398" s="99"/>
      <c r="H398" s="96"/>
      <c r="I398" s="10"/>
      <c r="J398" s="10"/>
      <c r="K398" s="99"/>
    </row>
    <row r="399" customFormat="false" ht="13.8" hidden="false" customHeight="false" outlineLevel="0" collapsed="false">
      <c r="A399" s="10" t="n">
        <f aca="false">A398+1</f>
        <v>397</v>
      </c>
      <c r="B399" s="11" t="str">
        <f aca="false">com.sun.star.sheet.addin.Analysis.getDec2Hex(2560+A399)</f>
        <v>B8D</v>
      </c>
      <c r="C399" s="12"/>
      <c r="D399" s="96"/>
      <c r="E399" s="10"/>
      <c r="F399" s="10"/>
      <c r="G399" s="99"/>
      <c r="H399" s="96"/>
      <c r="I399" s="10"/>
      <c r="J399" s="10"/>
      <c r="K399" s="99"/>
    </row>
    <row r="400" customFormat="false" ht="13.8" hidden="false" customHeight="false" outlineLevel="0" collapsed="false">
      <c r="A400" s="10" t="n">
        <f aca="false">A399+1</f>
        <v>398</v>
      </c>
      <c r="B400" s="11" t="str">
        <f aca="false">com.sun.star.sheet.addin.Analysis.getDec2Hex(2560+A400)</f>
        <v>B8E</v>
      </c>
      <c r="C400" s="12"/>
      <c r="D400" s="96"/>
      <c r="E400" s="10"/>
      <c r="F400" s="10"/>
      <c r="G400" s="99"/>
      <c r="H400" s="96"/>
      <c r="I400" s="10"/>
      <c r="J400" s="10"/>
      <c r="K400" s="99"/>
    </row>
    <row r="401" customFormat="false" ht="13.8" hidden="false" customHeight="false" outlineLevel="0" collapsed="false">
      <c r="A401" s="10" t="n">
        <f aca="false">A400+1</f>
        <v>399</v>
      </c>
      <c r="B401" s="11" t="str">
        <f aca="false">com.sun.star.sheet.addin.Analysis.getDec2Hex(2560+A401)</f>
        <v>B8F</v>
      </c>
      <c r="C401" s="12"/>
      <c r="D401" s="96"/>
      <c r="E401" s="10"/>
      <c r="F401" s="10"/>
      <c r="G401" s="99"/>
      <c r="H401" s="96"/>
      <c r="I401" s="10"/>
      <c r="J401" s="10"/>
      <c r="K401" s="99"/>
    </row>
    <row r="402" customFormat="false" ht="13.8" hidden="false" customHeight="false" outlineLevel="0" collapsed="false">
      <c r="A402" s="10" t="n">
        <f aca="false">A401+1</f>
        <v>400</v>
      </c>
      <c r="B402" s="11" t="str">
        <f aca="false">com.sun.star.sheet.addin.Analysis.getDec2Hex(2560+A402)</f>
        <v>B90</v>
      </c>
      <c r="C402" s="12"/>
      <c r="D402" s="96"/>
      <c r="E402" s="10"/>
      <c r="F402" s="10"/>
      <c r="G402" s="99"/>
      <c r="H402" s="96"/>
      <c r="I402" s="10"/>
      <c r="J402" s="10"/>
      <c r="K402" s="99"/>
    </row>
    <row r="403" customFormat="false" ht="13.8" hidden="false" customHeight="false" outlineLevel="0" collapsed="false">
      <c r="A403" s="10" t="n">
        <f aca="false">A402+1</f>
        <v>401</v>
      </c>
      <c r="B403" s="11" t="str">
        <f aca="false">com.sun.star.sheet.addin.Analysis.getDec2Hex(2560+A403)</f>
        <v>B91</v>
      </c>
      <c r="C403" s="12"/>
      <c r="D403" s="96"/>
      <c r="E403" s="10"/>
      <c r="F403" s="10"/>
      <c r="G403" s="99"/>
      <c r="H403" s="96"/>
      <c r="I403" s="10"/>
      <c r="J403" s="10"/>
      <c r="K403" s="99"/>
    </row>
    <row r="404" customFormat="false" ht="13.8" hidden="false" customHeight="false" outlineLevel="0" collapsed="false">
      <c r="A404" s="10" t="n">
        <f aca="false">A403+1</f>
        <v>402</v>
      </c>
      <c r="B404" s="11" t="str">
        <f aca="false">com.sun.star.sheet.addin.Analysis.getDec2Hex(2560+A404)</f>
        <v>B92</v>
      </c>
      <c r="C404" s="12"/>
      <c r="D404" s="96"/>
      <c r="E404" s="10"/>
      <c r="F404" s="10"/>
      <c r="G404" s="99"/>
      <c r="H404" s="96"/>
      <c r="I404" s="10"/>
      <c r="J404" s="10"/>
      <c r="K404" s="99"/>
    </row>
    <row r="405" customFormat="false" ht="13.8" hidden="false" customHeight="false" outlineLevel="0" collapsed="false">
      <c r="A405" s="10" t="n">
        <f aca="false">A404+1</f>
        <v>403</v>
      </c>
      <c r="B405" s="11" t="str">
        <f aca="false">com.sun.star.sheet.addin.Analysis.getDec2Hex(2560+A405)</f>
        <v>B93</v>
      </c>
      <c r="C405" s="12"/>
      <c r="D405" s="96"/>
      <c r="E405" s="10"/>
      <c r="F405" s="10"/>
      <c r="G405" s="99"/>
      <c r="H405" s="96"/>
      <c r="I405" s="10"/>
      <c r="J405" s="10"/>
      <c r="K405" s="99"/>
    </row>
    <row r="406" customFormat="false" ht="13.8" hidden="false" customHeight="false" outlineLevel="0" collapsed="false">
      <c r="A406" s="10" t="n">
        <f aca="false">A405+1</f>
        <v>404</v>
      </c>
      <c r="B406" s="11" t="str">
        <f aca="false">com.sun.star.sheet.addin.Analysis.getDec2Hex(2560+A406)</f>
        <v>B94</v>
      </c>
      <c r="C406" s="12"/>
      <c r="D406" s="96"/>
      <c r="E406" s="10"/>
      <c r="F406" s="10"/>
      <c r="G406" s="99"/>
      <c r="H406" s="96"/>
      <c r="I406" s="10"/>
      <c r="J406" s="10"/>
      <c r="K406" s="99"/>
    </row>
    <row r="407" customFormat="false" ht="13.8" hidden="false" customHeight="false" outlineLevel="0" collapsed="false">
      <c r="A407" s="10" t="n">
        <f aca="false">A406+1</f>
        <v>405</v>
      </c>
      <c r="B407" s="11" t="str">
        <f aca="false">com.sun.star.sheet.addin.Analysis.getDec2Hex(2560+A407)</f>
        <v>B95</v>
      </c>
      <c r="C407" s="12"/>
      <c r="D407" s="96"/>
      <c r="E407" s="10"/>
      <c r="F407" s="10"/>
      <c r="G407" s="99"/>
      <c r="H407" s="96"/>
      <c r="I407" s="10"/>
      <c r="J407" s="10"/>
      <c r="K407" s="99"/>
    </row>
    <row r="408" customFormat="false" ht="13.8" hidden="false" customHeight="false" outlineLevel="0" collapsed="false">
      <c r="A408" s="10" t="n">
        <f aca="false">A407+1</f>
        <v>406</v>
      </c>
      <c r="B408" s="11" t="str">
        <f aca="false">com.sun.star.sheet.addin.Analysis.getDec2Hex(2560+A408)</f>
        <v>B96</v>
      </c>
      <c r="C408" s="12"/>
      <c r="D408" s="96"/>
      <c r="E408" s="10"/>
      <c r="F408" s="10"/>
      <c r="G408" s="99"/>
      <c r="H408" s="96"/>
      <c r="I408" s="10"/>
      <c r="J408" s="10"/>
      <c r="K408" s="99"/>
    </row>
    <row r="409" customFormat="false" ht="13.8" hidden="false" customHeight="false" outlineLevel="0" collapsed="false">
      <c r="A409" s="10" t="n">
        <f aca="false">A408+1</f>
        <v>407</v>
      </c>
      <c r="B409" s="11" t="str">
        <f aca="false">com.sun.star.sheet.addin.Analysis.getDec2Hex(2560+A409)</f>
        <v>B97</v>
      </c>
      <c r="C409" s="12"/>
      <c r="D409" s="96"/>
      <c r="E409" s="10"/>
      <c r="F409" s="10"/>
      <c r="G409" s="99"/>
      <c r="H409" s="96"/>
      <c r="I409" s="10"/>
      <c r="J409" s="10"/>
      <c r="K409" s="99"/>
    </row>
    <row r="410" customFormat="false" ht="13.8" hidden="false" customHeight="false" outlineLevel="0" collapsed="false">
      <c r="A410" s="10" t="n">
        <f aca="false">A409+1</f>
        <v>408</v>
      </c>
      <c r="B410" s="11" t="str">
        <f aca="false">com.sun.star.sheet.addin.Analysis.getDec2Hex(2560+A410)</f>
        <v>B98</v>
      </c>
      <c r="C410" s="12"/>
      <c r="D410" s="96"/>
      <c r="E410" s="10"/>
      <c r="F410" s="10"/>
      <c r="G410" s="99"/>
      <c r="H410" s="96"/>
      <c r="I410" s="10"/>
      <c r="J410" s="10"/>
      <c r="K410" s="99"/>
    </row>
    <row r="411" customFormat="false" ht="13.8" hidden="false" customHeight="false" outlineLevel="0" collapsed="false">
      <c r="A411" s="10" t="n">
        <f aca="false">A410+1</f>
        <v>409</v>
      </c>
      <c r="B411" s="11" t="str">
        <f aca="false">com.sun.star.sheet.addin.Analysis.getDec2Hex(2560+A411)</f>
        <v>B99</v>
      </c>
      <c r="C411" s="12"/>
      <c r="D411" s="96"/>
      <c r="E411" s="10"/>
      <c r="F411" s="10"/>
      <c r="G411" s="99"/>
      <c r="H411" s="96"/>
      <c r="I411" s="10"/>
      <c r="J411" s="10"/>
      <c r="K411" s="99"/>
    </row>
    <row r="412" customFormat="false" ht="13.8" hidden="false" customHeight="false" outlineLevel="0" collapsed="false">
      <c r="A412" s="10" t="n">
        <f aca="false">A411+1</f>
        <v>410</v>
      </c>
      <c r="B412" s="11" t="str">
        <f aca="false">com.sun.star.sheet.addin.Analysis.getDec2Hex(2560+A412)</f>
        <v>B9A</v>
      </c>
      <c r="C412" s="12"/>
      <c r="D412" s="96"/>
      <c r="E412" s="10"/>
      <c r="F412" s="10"/>
      <c r="G412" s="99"/>
      <c r="H412" s="96"/>
      <c r="I412" s="10"/>
      <c r="J412" s="10"/>
      <c r="K412" s="99"/>
    </row>
    <row r="413" customFormat="false" ht="13.8" hidden="false" customHeight="false" outlineLevel="0" collapsed="false">
      <c r="A413" s="10" t="n">
        <f aca="false">A412+1</f>
        <v>411</v>
      </c>
      <c r="B413" s="11" t="str">
        <f aca="false">com.sun.star.sheet.addin.Analysis.getDec2Hex(2560+A413)</f>
        <v>B9B</v>
      </c>
      <c r="C413" s="12"/>
      <c r="D413" s="96"/>
      <c r="E413" s="10"/>
      <c r="F413" s="10"/>
      <c r="G413" s="99"/>
      <c r="H413" s="96"/>
      <c r="I413" s="10"/>
      <c r="J413" s="10"/>
      <c r="K413" s="99"/>
    </row>
    <row r="414" customFormat="false" ht="13.8" hidden="false" customHeight="false" outlineLevel="0" collapsed="false">
      <c r="A414" s="10" t="n">
        <f aca="false">A413+1</f>
        <v>412</v>
      </c>
      <c r="B414" s="11" t="str">
        <f aca="false">com.sun.star.sheet.addin.Analysis.getDec2Hex(2560+A414)</f>
        <v>B9C</v>
      </c>
      <c r="C414" s="12"/>
      <c r="D414" s="96"/>
      <c r="E414" s="10"/>
      <c r="F414" s="10"/>
      <c r="G414" s="99"/>
      <c r="H414" s="96"/>
      <c r="I414" s="10"/>
      <c r="J414" s="10"/>
      <c r="K414" s="99"/>
    </row>
    <row r="415" customFormat="false" ht="13.8" hidden="false" customHeight="false" outlineLevel="0" collapsed="false">
      <c r="A415" s="10" t="n">
        <f aca="false">A414+1</f>
        <v>413</v>
      </c>
      <c r="B415" s="11" t="str">
        <f aca="false">com.sun.star.sheet.addin.Analysis.getDec2Hex(2560+A415)</f>
        <v>B9D</v>
      </c>
      <c r="C415" s="12"/>
      <c r="D415" s="96"/>
      <c r="E415" s="10"/>
      <c r="F415" s="10"/>
      <c r="G415" s="99"/>
      <c r="H415" s="96"/>
      <c r="I415" s="10"/>
      <c r="J415" s="10"/>
      <c r="K415" s="99"/>
    </row>
    <row r="416" customFormat="false" ht="13.8" hidden="false" customHeight="false" outlineLevel="0" collapsed="false">
      <c r="A416" s="10" t="n">
        <f aca="false">A415+1</f>
        <v>414</v>
      </c>
      <c r="B416" s="11" t="str">
        <f aca="false">com.sun.star.sheet.addin.Analysis.getDec2Hex(2560+A416)</f>
        <v>B9E</v>
      </c>
      <c r="C416" s="12"/>
      <c r="D416" s="96"/>
      <c r="E416" s="10"/>
      <c r="F416" s="10"/>
      <c r="G416" s="99"/>
      <c r="H416" s="96"/>
      <c r="I416" s="10"/>
      <c r="J416" s="10"/>
      <c r="K416" s="99"/>
    </row>
    <row r="417" customFormat="false" ht="13.8" hidden="false" customHeight="false" outlineLevel="0" collapsed="false">
      <c r="A417" s="10" t="n">
        <f aca="false">A416+1</f>
        <v>415</v>
      </c>
      <c r="B417" s="11" t="str">
        <f aca="false">com.sun.star.sheet.addin.Analysis.getDec2Hex(2560+A417)</f>
        <v>B9F</v>
      </c>
      <c r="C417" s="12"/>
      <c r="D417" s="96"/>
      <c r="E417" s="10"/>
      <c r="F417" s="10"/>
      <c r="G417" s="99"/>
      <c r="H417" s="96"/>
      <c r="I417" s="10"/>
      <c r="J417" s="10"/>
      <c r="K417" s="99"/>
    </row>
    <row r="418" customFormat="false" ht="13.8" hidden="false" customHeight="false" outlineLevel="0" collapsed="false">
      <c r="A418" s="10" t="n">
        <f aca="false">A417+1</f>
        <v>416</v>
      </c>
      <c r="B418" s="11" t="str">
        <f aca="false">com.sun.star.sheet.addin.Analysis.getDec2Hex(2560+A418)</f>
        <v>BA0</v>
      </c>
      <c r="C418" s="12"/>
      <c r="D418" s="96"/>
      <c r="E418" s="10"/>
      <c r="F418" s="10"/>
      <c r="G418" s="99"/>
      <c r="H418" s="96"/>
      <c r="I418" s="10"/>
      <c r="J418" s="10"/>
      <c r="K418" s="99"/>
    </row>
    <row r="419" customFormat="false" ht="13.8" hidden="false" customHeight="false" outlineLevel="0" collapsed="false">
      <c r="A419" s="10" t="n">
        <f aca="false">A418+1</f>
        <v>417</v>
      </c>
      <c r="B419" s="11" t="str">
        <f aca="false">com.sun.star.sheet.addin.Analysis.getDec2Hex(2560+A419)</f>
        <v>BA1</v>
      </c>
      <c r="C419" s="12"/>
      <c r="D419" s="96"/>
      <c r="E419" s="10"/>
      <c r="F419" s="10"/>
      <c r="G419" s="99"/>
      <c r="H419" s="96"/>
      <c r="I419" s="10"/>
      <c r="J419" s="10"/>
      <c r="K419" s="99"/>
    </row>
    <row r="420" customFormat="false" ht="13.8" hidden="false" customHeight="false" outlineLevel="0" collapsed="false">
      <c r="A420" s="10" t="n">
        <f aca="false">A419+1</f>
        <v>418</v>
      </c>
      <c r="B420" s="11" t="str">
        <f aca="false">com.sun.star.sheet.addin.Analysis.getDec2Hex(2560+A420)</f>
        <v>BA2</v>
      </c>
      <c r="C420" s="12"/>
      <c r="D420" s="96"/>
      <c r="E420" s="10"/>
      <c r="F420" s="10"/>
      <c r="G420" s="99"/>
      <c r="H420" s="96"/>
      <c r="I420" s="10"/>
      <c r="J420" s="10"/>
      <c r="K420" s="99"/>
    </row>
    <row r="421" customFormat="false" ht="13.8" hidden="false" customHeight="false" outlineLevel="0" collapsed="false">
      <c r="A421" s="10" t="n">
        <f aca="false">A420+1</f>
        <v>419</v>
      </c>
      <c r="B421" s="11" t="str">
        <f aca="false">com.sun.star.sheet.addin.Analysis.getDec2Hex(2560+A421)</f>
        <v>BA3</v>
      </c>
      <c r="C421" s="12"/>
      <c r="D421" s="96"/>
      <c r="E421" s="10"/>
      <c r="F421" s="10"/>
      <c r="G421" s="99"/>
      <c r="H421" s="96"/>
      <c r="I421" s="10"/>
      <c r="J421" s="10"/>
      <c r="K421" s="99"/>
    </row>
    <row r="422" customFormat="false" ht="13.8" hidden="false" customHeight="false" outlineLevel="0" collapsed="false">
      <c r="A422" s="10" t="n">
        <f aca="false">A421+1</f>
        <v>420</v>
      </c>
      <c r="B422" s="11" t="str">
        <f aca="false">com.sun.star.sheet.addin.Analysis.getDec2Hex(2560+A422)</f>
        <v>BA4</v>
      </c>
      <c r="C422" s="12"/>
      <c r="D422" s="96"/>
      <c r="E422" s="10"/>
      <c r="F422" s="10"/>
      <c r="G422" s="99"/>
      <c r="H422" s="96"/>
      <c r="I422" s="10"/>
      <c r="J422" s="10"/>
      <c r="K422" s="99"/>
    </row>
    <row r="423" customFormat="false" ht="13.8" hidden="false" customHeight="false" outlineLevel="0" collapsed="false">
      <c r="A423" s="10" t="n">
        <f aca="false">A422+1</f>
        <v>421</v>
      </c>
      <c r="B423" s="11" t="str">
        <f aca="false">com.sun.star.sheet.addin.Analysis.getDec2Hex(2560+A423)</f>
        <v>BA5</v>
      </c>
      <c r="C423" s="12"/>
      <c r="D423" s="96"/>
      <c r="E423" s="10"/>
      <c r="F423" s="10"/>
      <c r="G423" s="99"/>
      <c r="H423" s="96"/>
      <c r="I423" s="10"/>
      <c r="J423" s="10"/>
      <c r="K423" s="99"/>
    </row>
    <row r="424" customFormat="false" ht="13.8" hidden="false" customHeight="false" outlineLevel="0" collapsed="false">
      <c r="A424" s="10" t="n">
        <f aca="false">A423+1</f>
        <v>422</v>
      </c>
      <c r="B424" s="11" t="str">
        <f aca="false">com.sun.star.sheet.addin.Analysis.getDec2Hex(2560+A424)</f>
        <v>BA6</v>
      </c>
      <c r="C424" s="12"/>
      <c r="D424" s="96"/>
      <c r="E424" s="10"/>
      <c r="F424" s="10"/>
      <c r="G424" s="99"/>
      <c r="H424" s="96"/>
      <c r="I424" s="10"/>
      <c r="J424" s="10"/>
      <c r="K424" s="99"/>
    </row>
    <row r="425" customFormat="false" ht="13.8" hidden="false" customHeight="false" outlineLevel="0" collapsed="false">
      <c r="A425" s="10" t="n">
        <f aca="false">A424+1</f>
        <v>423</v>
      </c>
      <c r="B425" s="11" t="str">
        <f aca="false">com.sun.star.sheet.addin.Analysis.getDec2Hex(2560+A425)</f>
        <v>BA7</v>
      </c>
      <c r="C425" s="12"/>
      <c r="D425" s="96"/>
      <c r="E425" s="10"/>
      <c r="F425" s="10"/>
      <c r="G425" s="99"/>
      <c r="H425" s="96"/>
      <c r="I425" s="10"/>
      <c r="J425" s="10"/>
      <c r="K425" s="99"/>
    </row>
    <row r="426" customFormat="false" ht="13.8" hidden="false" customHeight="false" outlineLevel="0" collapsed="false">
      <c r="A426" s="10" t="n">
        <f aca="false">A425+1</f>
        <v>424</v>
      </c>
      <c r="B426" s="11" t="str">
        <f aca="false">com.sun.star.sheet.addin.Analysis.getDec2Hex(2560+A426)</f>
        <v>BA8</v>
      </c>
      <c r="C426" s="12"/>
      <c r="D426" s="96"/>
      <c r="E426" s="10"/>
      <c r="F426" s="10"/>
      <c r="G426" s="99"/>
      <c r="H426" s="96"/>
      <c r="I426" s="10"/>
      <c r="J426" s="10"/>
      <c r="K426" s="99"/>
    </row>
    <row r="427" customFormat="false" ht="13.8" hidden="false" customHeight="false" outlineLevel="0" collapsed="false">
      <c r="A427" s="10" t="n">
        <f aca="false">A426+1</f>
        <v>425</v>
      </c>
      <c r="B427" s="11" t="str">
        <f aca="false">com.sun.star.sheet.addin.Analysis.getDec2Hex(2560+A427)</f>
        <v>BA9</v>
      </c>
      <c r="C427" s="12"/>
      <c r="D427" s="96"/>
      <c r="E427" s="10"/>
      <c r="F427" s="10"/>
      <c r="G427" s="99"/>
      <c r="H427" s="96"/>
      <c r="I427" s="10"/>
      <c r="J427" s="10"/>
      <c r="K427" s="99"/>
    </row>
    <row r="428" customFormat="false" ht="13.8" hidden="false" customHeight="false" outlineLevel="0" collapsed="false">
      <c r="A428" s="10" t="n">
        <f aca="false">A427+1</f>
        <v>426</v>
      </c>
      <c r="B428" s="11" t="str">
        <f aca="false">com.sun.star.sheet.addin.Analysis.getDec2Hex(2560+A428)</f>
        <v>BAA</v>
      </c>
      <c r="C428" s="12"/>
      <c r="D428" s="96"/>
      <c r="E428" s="10"/>
      <c r="F428" s="10"/>
      <c r="G428" s="99"/>
      <c r="H428" s="96"/>
      <c r="I428" s="10"/>
      <c r="J428" s="10"/>
      <c r="K428" s="99"/>
    </row>
    <row r="429" customFormat="false" ht="13.8" hidden="false" customHeight="false" outlineLevel="0" collapsed="false">
      <c r="A429" s="10" t="n">
        <f aca="false">A428+1</f>
        <v>427</v>
      </c>
      <c r="B429" s="11" t="str">
        <f aca="false">com.sun.star.sheet.addin.Analysis.getDec2Hex(2560+A429)</f>
        <v>BAB</v>
      </c>
      <c r="C429" s="12"/>
      <c r="D429" s="96"/>
      <c r="E429" s="10"/>
      <c r="F429" s="10"/>
      <c r="G429" s="99"/>
      <c r="H429" s="96"/>
      <c r="I429" s="10"/>
      <c r="J429" s="10"/>
      <c r="K429" s="99"/>
    </row>
    <row r="430" customFormat="false" ht="13.8" hidden="false" customHeight="false" outlineLevel="0" collapsed="false">
      <c r="A430" s="10" t="n">
        <f aca="false">A429+1</f>
        <v>428</v>
      </c>
      <c r="B430" s="11" t="str">
        <f aca="false">com.sun.star.sheet.addin.Analysis.getDec2Hex(2560+A430)</f>
        <v>BAC</v>
      </c>
      <c r="C430" s="12"/>
      <c r="D430" s="96"/>
      <c r="E430" s="10"/>
      <c r="F430" s="10"/>
      <c r="G430" s="99"/>
      <c r="H430" s="96"/>
      <c r="I430" s="10"/>
      <c r="J430" s="10"/>
      <c r="K430" s="99"/>
    </row>
    <row r="431" customFormat="false" ht="13.8" hidden="false" customHeight="false" outlineLevel="0" collapsed="false">
      <c r="A431" s="10" t="n">
        <f aca="false">A430+1</f>
        <v>429</v>
      </c>
      <c r="B431" s="11" t="str">
        <f aca="false">com.sun.star.sheet.addin.Analysis.getDec2Hex(2560+A431)</f>
        <v>BAD</v>
      </c>
      <c r="C431" s="12"/>
      <c r="D431" s="96"/>
      <c r="E431" s="10"/>
      <c r="F431" s="10"/>
      <c r="G431" s="99"/>
      <c r="H431" s="96"/>
      <c r="I431" s="10"/>
      <c r="J431" s="10"/>
      <c r="K431" s="99"/>
    </row>
    <row r="432" customFormat="false" ht="13.8" hidden="false" customHeight="false" outlineLevel="0" collapsed="false">
      <c r="A432" s="10" t="n">
        <f aca="false">A431+1</f>
        <v>430</v>
      </c>
      <c r="B432" s="11" t="str">
        <f aca="false">com.sun.star.sheet.addin.Analysis.getDec2Hex(2560+A432)</f>
        <v>BAE</v>
      </c>
      <c r="C432" s="12"/>
      <c r="D432" s="96"/>
      <c r="E432" s="10"/>
      <c r="F432" s="10"/>
      <c r="G432" s="99"/>
      <c r="H432" s="96"/>
      <c r="I432" s="10"/>
      <c r="J432" s="10"/>
      <c r="K432" s="99"/>
    </row>
    <row r="433" customFormat="false" ht="13.8" hidden="false" customHeight="false" outlineLevel="0" collapsed="false">
      <c r="A433" s="10" t="n">
        <f aca="false">A432+1</f>
        <v>431</v>
      </c>
      <c r="B433" s="11" t="str">
        <f aca="false">com.sun.star.sheet.addin.Analysis.getDec2Hex(2560+A433)</f>
        <v>BAF</v>
      </c>
      <c r="C433" s="12"/>
      <c r="D433" s="96"/>
      <c r="E433" s="10"/>
      <c r="F433" s="10"/>
      <c r="G433" s="99"/>
      <c r="H433" s="96"/>
      <c r="I433" s="10"/>
      <c r="J433" s="10"/>
      <c r="K433" s="99"/>
    </row>
    <row r="434" customFormat="false" ht="13.8" hidden="false" customHeight="false" outlineLevel="0" collapsed="false">
      <c r="A434" s="10" t="n">
        <f aca="false">A433+1</f>
        <v>432</v>
      </c>
      <c r="B434" s="11" t="str">
        <f aca="false">com.sun.star.sheet.addin.Analysis.getDec2Hex(2560+A434)</f>
        <v>BB0</v>
      </c>
      <c r="C434" s="12"/>
      <c r="D434" s="96"/>
      <c r="E434" s="10"/>
      <c r="F434" s="10"/>
      <c r="G434" s="99"/>
      <c r="H434" s="96"/>
      <c r="I434" s="10"/>
      <c r="J434" s="10"/>
      <c r="K434" s="99"/>
    </row>
    <row r="435" customFormat="false" ht="13.8" hidden="false" customHeight="false" outlineLevel="0" collapsed="false">
      <c r="A435" s="10" t="n">
        <f aca="false">A434+1</f>
        <v>433</v>
      </c>
      <c r="B435" s="11" t="str">
        <f aca="false">com.sun.star.sheet.addin.Analysis.getDec2Hex(2560+A435)</f>
        <v>BB1</v>
      </c>
      <c r="C435" s="12"/>
      <c r="D435" s="96"/>
      <c r="E435" s="10"/>
      <c r="F435" s="10"/>
      <c r="G435" s="99"/>
      <c r="H435" s="96"/>
      <c r="I435" s="10"/>
      <c r="J435" s="10"/>
      <c r="K435" s="99"/>
    </row>
    <row r="436" customFormat="false" ht="13.8" hidden="false" customHeight="false" outlineLevel="0" collapsed="false">
      <c r="A436" s="10" t="n">
        <f aca="false">A435+1</f>
        <v>434</v>
      </c>
      <c r="B436" s="11" t="str">
        <f aca="false">com.sun.star.sheet.addin.Analysis.getDec2Hex(2560+A436)</f>
        <v>BB2</v>
      </c>
      <c r="C436" s="12"/>
      <c r="D436" s="96"/>
      <c r="E436" s="10"/>
      <c r="F436" s="10"/>
      <c r="G436" s="99"/>
      <c r="H436" s="96"/>
      <c r="I436" s="10"/>
      <c r="J436" s="10"/>
      <c r="K436" s="99"/>
    </row>
    <row r="437" customFormat="false" ht="13.8" hidden="false" customHeight="false" outlineLevel="0" collapsed="false">
      <c r="A437" s="10" t="n">
        <f aca="false">A436+1</f>
        <v>435</v>
      </c>
      <c r="B437" s="11" t="str">
        <f aca="false">com.sun.star.sheet.addin.Analysis.getDec2Hex(2560+A437)</f>
        <v>BB3</v>
      </c>
      <c r="C437" s="12"/>
      <c r="D437" s="96"/>
      <c r="E437" s="10"/>
      <c r="F437" s="10"/>
      <c r="G437" s="99"/>
      <c r="H437" s="96"/>
      <c r="I437" s="10"/>
      <c r="J437" s="10"/>
      <c r="K437" s="99"/>
    </row>
    <row r="438" customFormat="false" ht="13.8" hidden="false" customHeight="false" outlineLevel="0" collapsed="false">
      <c r="A438" s="10" t="n">
        <f aca="false">A437+1</f>
        <v>436</v>
      </c>
      <c r="B438" s="11" t="str">
        <f aca="false">com.sun.star.sheet.addin.Analysis.getDec2Hex(2560+A438)</f>
        <v>BB4</v>
      </c>
      <c r="C438" s="12"/>
      <c r="D438" s="96"/>
      <c r="E438" s="10"/>
      <c r="F438" s="10"/>
      <c r="G438" s="99"/>
      <c r="H438" s="96"/>
      <c r="I438" s="10"/>
      <c r="J438" s="10"/>
      <c r="K438" s="99"/>
    </row>
    <row r="439" customFormat="false" ht="13.8" hidden="false" customHeight="false" outlineLevel="0" collapsed="false">
      <c r="A439" s="10" t="n">
        <f aca="false">A438+1</f>
        <v>437</v>
      </c>
      <c r="B439" s="11" t="str">
        <f aca="false">com.sun.star.sheet.addin.Analysis.getDec2Hex(2560+A439)</f>
        <v>BB5</v>
      </c>
      <c r="C439" s="12"/>
      <c r="D439" s="96"/>
      <c r="E439" s="10"/>
      <c r="F439" s="10"/>
      <c r="G439" s="99"/>
      <c r="H439" s="96"/>
      <c r="I439" s="10"/>
      <c r="J439" s="10"/>
      <c r="K439" s="99"/>
    </row>
    <row r="440" customFormat="false" ht="13.8" hidden="false" customHeight="false" outlineLevel="0" collapsed="false">
      <c r="A440" s="10" t="n">
        <f aca="false">A439+1</f>
        <v>438</v>
      </c>
      <c r="B440" s="11" t="str">
        <f aca="false">com.sun.star.sheet.addin.Analysis.getDec2Hex(2560+A440)</f>
        <v>BB6</v>
      </c>
      <c r="C440" s="12"/>
      <c r="D440" s="96"/>
      <c r="E440" s="10"/>
      <c r="F440" s="10"/>
      <c r="G440" s="99"/>
      <c r="H440" s="96"/>
      <c r="I440" s="10"/>
      <c r="J440" s="10"/>
      <c r="K440" s="99"/>
    </row>
    <row r="441" customFormat="false" ht="13.8" hidden="false" customHeight="false" outlineLevel="0" collapsed="false">
      <c r="A441" s="10" t="n">
        <f aca="false">A440+1</f>
        <v>439</v>
      </c>
      <c r="B441" s="11" t="str">
        <f aca="false">com.sun.star.sheet.addin.Analysis.getDec2Hex(2560+A441)</f>
        <v>BB7</v>
      </c>
      <c r="C441" s="12"/>
      <c r="D441" s="96"/>
      <c r="E441" s="10"/>
      <c r="F441" s="10"/>
      <c r="G441" s="99"/>
      <c r="H441" s="96"/>
      <c r="I441" s="10"/>
      <c r="J441" s="10"/>
      <c r="K441" s="99"/>
    </row>
    <row r="442" customFormat="false" ht="13.8" hidden="false" customHeight="false" outlineLevel="0" collapsed="false">
      <c r="A442" s="10" t="n">
        <f aca="false">A441+1</f>
        <v>440</v>
      </c>
      <c r="B442" s="11" t="str">
        <f aca="false">com.sun.star.sheet.addin.Analysis.getDec2Hex(2560+A442)</f>
        <v>BB8</v>
      </c>
      <c r="C442" s="12"/>
      <c r="D442" s="96"/>
      <c r="E442" s="10"/>
      <c r="F442" s="10"/>
      <c r="G442" s="99"/>
      <c r="H442" s="96"/>
      <c r="I442" s="10"/>
      <c r="J442" s="10"/>
      <c r="K442" s="99"/>
    </row>
    <row r="443" customFormat="false" ht="13.8" hidden="false" customHeight="false" outlineLevel="0" collapsed="false">
      <c r="A443" s="10" t="n">
        <f aca="false">A442+1</f>
        <v>441</v>
      </c>
      <c r="B443" s="11" t="str">
        <f aca="false">com.sun.star.sheet.addin.Analysis.getDec2Hex(2560+A443)</f>
        <v>BB9</v>
      </c>
      <c r="C443" s="12"/>
      <c r="D443" s="96"/>
      <c r="E443" s="10"/>
      <c r="F443" s="10"/>
      <c r="G443" s="99"/>
      <c r="H443" s="96"/>
      <c r="I443" s="10"/>
      <c r="J443" s="10"/>
      <c r="K443" s="99"/>
    </row>
    <row r="444" customFormat="false" ht="13.8" hidden="false" customHeight="false" outlineLevel="0" collapsed="false">
      <c r="A444" s="10" t="n">
        <f aca="false">A443+1</f>
        <v>442</v>
      </c>
      <c r="B444" s="11" t="str">
        <f aca="false">com.sun.star.sheet.addin.Analysis.getDec2Hex(2560+A444)</f>
        <v>BBA</v>
      </c>
      <c r="C444" s="12"/>
      <c r="D444" s="96"/>
      <c r="E444" s="10"/>
      <c r="F444" s="10"/>
      <c r="G444" s="99"/>
      <c r="H444" s="96"/>
      <c r="I444" s="10"/>
      <c r="J444" s="10"/>
      <c r="K444" s="99"/>
    </row>
    <row r="445" customFormat="false" ht="13.8" hidden="false" customHeight="false" outlineLevel="0" collapsed="false">
      <c r="A445" s="10" t="n">
        <f aca="false">A444+1</f>
        <v>443</v>
      </c>
      <c r="B445" s="11" t="str">
        <f aca="false">com.sun.star.sheet.addin.Analysis.getDec2Hex(2560+A445)</f>
        <v>BBB</v>
      </c>
      <c r="C445" s="12"/>
      <c r="D445" s="96"/>
      <c r="E445" s="10"/>
      <c r="F445" s="10"/>
      <c r="G445" s="99"/>
      <c r="H445" s="96"/>
      <c r="I445" s="10"/>
      <c r="J445" s="10"/>
      <c r="K445" s="99"/>
    </row>
    <row r="446" customFormat="false" ht="13.8" hidden="false" customHeight="false" outlineLevel="0" collapsed="false">
      <c r="A446" s="10" t="n">
        <f aca="false">A445+1</f>
        <v>444</v>
      </c>
      <c r="B446" s="11" t="str">
        <f aca="false">com.sun.star.sheet.addin.Analysis.getDec2Hex(2560+A446)</f>
        <v>BBC</v>
      </c>
      <c r="C446" s="12"/>
      <c r="D446" s="96"/>
      <c r="E446" s="10"/>
      <c r="F446" s="10"/>
      <c r="G446" s="99"/>
      <c r="H446" s="96"/>
      <c r="I446" s="10"/>
      <c r="J446" s="10"/>
      <c r="K446" s="99"/>
    </row>
    <row r="447" customFormat="false" ht="13.8" hidden="false" customHeight="false" outlineLevel="0" collapsed="false">
      <c r="A447" s="10" t="n">
        <f aca="false">A446+1</f>
        <v>445</v>
      </c>
      <c r="B447" s="11" t="str">
        <f aca="false">com.sun.star.sheet.addin.Analysis.getDec2Hex(2560+A447)</f>
        <v>BBD</v>
      </c>
      <c r="C447" s="12"/>
      <c r="D447" s="96"/>
      <c r="E447" s="10"/>
      <c r="F447" s="10"/>
      <c r="G447" s="99"/>
      <c r="H447" s="96"/>
      <c r="I447" s="10"/>
      <c r="J447" s="10"/>
      <c r="K447" s="99"/>
    </row>
    <row r="448" customFormat="false" ht="13.8" hidden="false" customHeight="false" outlineLevel="0" collapsed="false">
      <c r="A448" s="10" t="n">
        <f aca="false">A447+1</f>
        <v>446</v>
      </c>
      <c r="B448" s="11" t="str">
        <f aca="false">com.sun.star.sheet.addin.Analysis.getDec2Hex(2560+A448)</f>
        <v>BBE</v>
      </c>
      <c r="C448" s="12"/>
      <c r="D448" s="96"/>
      <c r="E448" s="10"/>
      <c r="F448" s="10"/>
      <c r="G448" s="99"/>
      <c r="H448" s="96"/>
      <c r="I448" s="10"/>
      <c r="J448" s="10"/>
      <c r="K448" s="99"/>
    </row>
    <row r="449" customFormat="false" ht="13.8" hidden="false" customHeight="false" outlineLevel="0" collapsed="false">
      <c r="A449" s="10" t="n">
        <f aca="false">A448+1</f>
        <v>447</v>
      </c>
      <c r="B449" s="11" t="str">
        <f aca="false">com.sun.star.sheet.addin.Analysis.getDec2Hex(2560+A449)</f>
        <v>BBF</v>
      </c>
      <c r="C449" s="12"/>
      <c r="D449" s="96"/>
      <c r="E449" s="10"/>
      <c r="F449" s="10"/>
      <c r="G449" s="99"/>
      <c r="H449" s="96"/>
      <c r="I449" s="10"/>
      <c r="J449" s="10"/>
      <c r="K449" s="99"/>
    </row>
    <row r="450" customFormat="false" ht="13.8" hidden="false" customHeight="false" outlineLevel="0" collapsed="false">
      <c r="A450" s="10" t="n">
        <f aca="false">A449+1</f>
        <v>448</v>
      </c>
      <c r="B450" s="11" t="str">
        <f aca="false">com.sun.star.sheet.addin.Analysis.getDec2Hex(2560+A450)</f>
        <v>BC0</v>
      </c>
      <c r="C450" s="12"/>
      <c r="D450" s="96"/>
      <c r="E450" s="10"/>
      <c r="F450" s="10"/>
      <c r="G450" s="99"/>
      <c r="H450" s="96"/>
      <c r="I450" s="10"/>
      <c r="J450" s="10"/>
      <c r="K450" s="99"/>
    </row>
    <row r="451" customFormat="false" ht="13.8" hidden="false" customHeight="false" outlineLevel="0" collapsed="false">
      <c r="A451" s="10" t="n">
        <f aca="false">A450+1</f>
        <v>449</v>
      </c>
      <c r="B451" s="11" t="str">
        <f aca="false">com.sun.star.sheet.addin.Analysis.getDec2Hex(2560+A451)</f>
        <v>BC1</v>
      </c>
      <c r="C451" s="12"/>
      <c r="D451" s="96"/>
      <c r="E451" s="10"/>
      <c r="F451" s="10"/>
      <c r="G451" s="99"/>
      <c r="H451" s="96"/>
      <c r="I451" s="10"/>
      <c r="J451" s="10"/>
      <c r="K451" s="99"/>
    </row>
    <row r="452" customFormat="false" ht="13.8" hidden="false" customHeight="false" outlineLevel="0" collapsed="false">
      <c r="A452" s="10" t="n">
        <f aca="false">A451+1</f>
        <v>450</v>
      </c>
      <c r="B452" s="11" t="str">
        <f aca="false">com.sun.star.sheet.addin.Analysis.getDec2Hex(2560+A452)</f>
        <v>BC2</v>
      </c>
      <c r="C452" s="12"/>
      <c r="D452" s="96"/>
      <c r="E452" s="10"/>
      <c r="F452" s="10"/>
      <c r="G452" s="99"/>
      <c r="H452" s="96"/>
      <c r="I452" s="10"/>
      <c r="J452" s="10"/>
      <c r="K452" s="99"/>
    </row>
    <row r="453" customFormat="false" ht="13.8" hidden="false" customHeight="false" outlineLevel="0" collapsed="false">
      <c r="A453" s="10" t="n">
        <f aca="false">A452+1</f>
        <v>451</v>
      </c>
      <c r="B453" s="11" t="str">
        <f aca="false">com.sun.star.sheet.addin.Analysis.getDec2Hex(2560+A453)</f>
        <v>BC3</v>
      </c>
      <c r="C453" s="12"/>
      <c r="D453" s="96"/>
      <c r="E453" s="10"/>
      <c r="F453" s="10"/>
      <c r="G453" s="99"/>
      <c r="H453" s="96"/>
      <c r="I453" s="10"/>
      <c r="J453" s="10"/>
      <c r="K453" s="99"/>
    </row>
    <row r="454" customFormat="false" ht="13.8" hidden="false" customHeight="false" outlineLevel="0" collapsed="false">
      <c r="A454" s="10" t="n">
        <f aca="false">A453+1</f>
        <v>452</v>
      </c>
      <c r="B454" s="11" t="str">
        <f aca="false">com.sun.star.sheet.addin.Analysis.getDec2Hex(2560+A454)</f>
        <v>BC4</v>
      </c>
      <c r="C454" s="12"/>
      <c r="D454" s="96"/>
      <c r="E454" s="10"/>
      <c r="F454" s="10"/>
      <c r="G454" s="99"/>
      <c r="H454" s="96"/>
      <c r="I454" s="10"/>
      <c r="J454" s="10"/>
      <c r="K454" s="99"/>
    </row>
    <row r="455" customFormat="false" ht="13.8" hidden="false" customHeight="false" outlineLevel="0" collapsed="false">
      <c r="A455" s="10" t="n">
        <f aca="false">A454+1</f>
        <v>453</v>
      </c>
      <c r="B455" s="11" t="str">
        <f aca="false">com.sun.star.sheet.addin.Analysis.getDec2Hex(2560+A455)</f>
        <v>BC5</v>
      </c>
      <c r="C455" s="12"/>
      <c r="D455" s="96"/>
      <c r="E455" s="10"/>
      <c r="F455" s="10"/>
      <c r="G455" s="99"/>
      <c r="H455" s="96"/>
      <c r="I455" s="10"/>
      <c r="J455" s="10"/>
      <c r="K455" s="99"/>
    </row>
    <row r="456" customFormat="false" ht="13.8" hidden="false" customHeight="false" outlineLevel="0" collapsed="false">
      <c r="A456" s="10" t="n">
        <f aca="false">A455+1</f>
        <v>454</v>
      </c>
      <c r="B456" s="11" t="str">
        <f aca="false">com.sun.star.sheet.addin.Analysis.getDec2Hex(2560+A456)</f>
        <v>BC6</v>
      </c>
      <c r="C456" s="12"/>
      <c r="D456" s="96"/>
      <c r="E456" s="10"/>
      <c r="F456" s="10"/>
      <c r="G456" s="99"/>
      <c r="H456" s="96"/>
      <c r="I456" s="10"/>
      <c r="J456" s="10"/>
      <c r="K456" s="99"/>
    </row>
    <row r="457" customFormat="false" ht="13.8" hidden="false" customHeight="false" outlineLevel="0" collapsed="false">
      <c r="A457" s="10" t="n">
        <f aca="false">A456+1</f>
        <v>455</v>
      </c>
      <c r="B457" s="11" t="str">
        <f aca="false">com.sun.star.sheet.addin.Analysis.getDec2Hex(2560+A457)</f>
        <v>BC7</v>
      </c>
      <c r="C457" s="12"/>
      <c r="D457" s="96"/>
      <c r="E457" s="10"/>
      <c r="F457" s="10"/>
      <c r="G457" s="99"/>
      <c r="H457" s="96"/>
      <c r="I457" s="10"/>
      <c r="J457" s="10"/>
      <c r="K457" s="99"/>
    </row>
    <row r="458" customFormat="false" ht="13.8" hidden="false" customHeight="false" outlineLevel="0" collapsed="false">
      <c r="A458" s="10" t="n">
        <f aca="false">A457+1</f>
        <v>456</v>
      </c>
      <c r="B458" s="11" t="str">
        <f aca="false">com.sun.star.sheet.addin.Analysis.getDec2Hex(2560+A458)</f>
        <v>BC8</v>
      </c>
      <c r="C458" s="12"/>
      <c r="D458" s="96"/>
      <c r="E458" s="10"/>
      <c r="F458" s="10"/>
      <c r="G458" s="99"/>
      <c r="H458" s="96"/>
      <c r="I458" s="10"/>
      <c r="J458" s="10"/>
      <c r="K458" s="99"/>
    </row>
    <row r="459" customFormat="false" ht="13.8" hidden="false" customHeight="false" outlineLevel="0" collapsed="false">
      <c r="A459" s="10" t="n">
        <f aca="false">A458+1</f>
        <v>457</v>
      </c>
      <c r="B459" s="11" t="str">
        <f aca="false">com.sun.star.sheet.addin.Analysis.getDec2Hex(2560+A459)</f>
        <v>BC9</v>
      </c>
      <c r="C459" s="12"/>
      <c r="D459" s="96"/>
      <c r="E459" s="10"/>
      <c r="F459" s="10"/>
      <c r="G459" s="99"/>
      <c r="H459" s="96"/>
      <c r="I459" s="10"/>
      <c r="J459" s="10"/>
      <c r="K459" s="99"/>
    </row>
    <row r="460" customFormat="false" ht="13.8" hidden="false" customHeight="false" outlineLevel="0" collapsed="false">
      <c r="A460" s="10" t="n">
        <f aca="false">A459+1</f>
        <v>458</v>
      </c>
      <c r="B460" s="11" t="str">
        <f aca="false">com.sun.star.sheet.addin.Analysis.getDec2Hex(2560+A460)</f>
        <v>BCA</v>
      </c>
      <c r="C460" s="12"/>
      <c r="D460" s="96"/>
      <c r="E460" s="10"/>
      <c r="F460" s="10"/>
      <c r="G460" s="99"/>
      <c r="H460" s="96"/>
      <c r="I460" s="10"/>
      <c r="J460" s="10"/>
      <c r="K460" s="99"/>
    </row>
    <row r="461" customFormat="false" ht="13.8" hidden="false" customHeight="false" outlineLevel="0" collapsed="false">
      <c r="A461" s="10" t="n">
        <f aca="false">A460+1</f>
        <v>459</v>
      </c>
      <c r="B461" s="11" t="str">
        <f aca="false">com.sun.star.sheet.addin.Analysis.getDec2Hex(2560+A461)</f>
        <v>BCB</v>
      </c>
      <c r="C461" s="12"/>
      <c r="D461" s="96"/>
      <c r="E461" s="10"/>
      <c r="F461" s="10"/>
      <c r="G461" s="99"/>
      <c r="H461" s="96"/>
      <c r="I461" s="10"/>
      <c r="J461" s="10"/>
      <c r="K461" s="99"/>
    </row>
    <row r="462" customFormat="false" ht="13.8" hidden="false" customHeight="false" outlineLevel="0" collapsed="false">
      <c r="A462" s="10" t="n">
        <f aca="false">A461+1</f>
        <v>460</v>
      </c>
      <c r="B462" s="11" t="str">
        <f aca="false">com.sun.star.sheet.addin.Analysis.getDec2Hex(2560+A462)</f>
        <v>BCC</v>
      </c>
      <c r="C462" s="12"/>
      <c r="D462" s="96"/>
      <c r="E462" s="10"/>
      <c r="F462" s="10"/>
      <c r="G462" s="99"/>
      <c r="H462" s="96"/>
      <c r="I462" s="10"/>
      <c r="J462" s="10"/>
      <c r="K462" s="99"/>
    </row>
    <row r="463" customFormat="false" ht="13.8" hidden="false" customHeight="false" outlineLevel="0" collapsed="false">
      <c r="A463" s="10" t="n">
        <f aca="false">A462+1</f>
        <v>461</v>
      </c>
      <c r="B463" s="11" t="str">
        <f aca="false">com.sun.star.sheet.addin.Analysis.getDec2Hex(2560+A463)</f>
        <v>BCD</v>
      </c>
      <c r="C463" s="12"/>
      <c r="D463" s="96"/>
      <c r="E463" s="10"/>
      <c r="F463" s="10"/>
      <c r="G463" s="99"/>
      <c r="H463" s="96"/>
      <c r="I463" s="10"/>
      <c r="J463" s="10"/>
      <c r="K463" s="99"/>
    </row>
    <row r="464" customFormat="false" ht="13.8" hidden="false" customHeight="false" outlineLevel="0" collapsed="false">
      <c r="A464" s="10" t="n">
        <f aca="false">A463+1</f>
        <v>462</v>
      </c>
      <c r="B464" s="11" t="str">
        <f aca="false">com.sun.star.sheet.addin.Analysis.getDec2Hex(2560+A464)</f>
        <v>BCE</v>
      </c>
      <c r="C464" s="12"/>
      <c r="D464" s="96"/>
      <c r="E464" s="10"/>
      <c r="F464" s="10"/>
      <c r="G464" s="99"/>
      <c r="H464" s="96"/>
      <c r="I464" s="10"/>
      <c r="J464" s="10"/>
      <c r="K464" s="99"/>
    </row>
    <row r="465" customFormat="false" ht="13.8" hidden="false" customHeight="false" outlineLevel="0" collapsed="false">
      <c r="A465" s="10" t="n">
        <f aca="false">A464+1</f>
        <v>463</v>
      </c>
      <c r="B465" s="11" t="str">
        <f aca="false">com.sun.star.sheet.addin.Analysis.getDec2Hex(2560+A465)</f>
        <v>BCF</v>
      </c>
      <c r="C465" s="12"/>
      <c r="D465" s="96"/>
      <c r="E465" s="10"/>
      <c r="F465" s="10"/>
      <c r="G465" s="99"/>
      <c r="H465" s="96"/>
      <c r="I465" s="10"/>
      <c r="J465" s="10"/>
      <c r="K465" s="99"/>
    </row>
    <row r="466" customFormat="false" ht="13.8" hidden="false" customHeight="false" outlineLevel="0" collapsed="false">
      <c r="A466" s="10" t="n">
        <f aca="false">A465+1</f>
        <v>464</v>
      </c>
      <c r="B466" s="11" t="str">
        <f aca="false">com.sun.star.sheet.addin.Analysis.getDec2Hex(2560+A466)</f>
        <v>BD0</v>
      </c>
      <c r="C466" s="12"/>
      <c r="D466" s="96"/>
      <c r="E466" s="10"/>
      <c r="F466" s="10"/>
      <c r="G466" s="99"/>
      <c r="H466" s="96"/>
      <c r="I466" s="10"/>
      <c r="J466" s="10"/>
      <c r="K466" s="99"/>
    </row>
    <row r="467" customFormat="false" ht="13.8" hidden="false" customHeight="false" outlineLevel="0" collapsed="false">
      <c r="A467" s="10" t="n">
        <f aca="false">A466+1</f>
        <v>465</v>
      </c>
      <c r="B467" s="11" t="str">
        <f aca="false">com.sun.star.sheet.addin.Analysis.getDec2Hex(2560+A467)</f>
        <v>BD1</v>
      </c>
      <c r="C467" s="12"/>
      <c r="D467" s="96"/>
      <c r="E467" s="10"/>
      <c r="F467" s="10"/>
      <c r="G467" s="99"/>
      <c r="H467" s="96"/>
      <c r="I467" s="10"/>
      <c r="J467" s="10"/>
      <c r="K467" s="99"/>
    </row>
    <row r="468" customFormat="false" ht="13.8" hidden="false" customHeight="false" outlineLevel="0" collapsed="false">
      <c r="A468" s="10" t="n">
        <f aca="false">A467+1</f>
        <v>466</v>
      </c>
      <c r="B468" s="11" t="str">
        <f aca="false">com.sun.star.sheet.addin.Analysis.getDec2Hex(2560+A468)</f>
        <v>BD2</v>
      </c>
      <c r="C468" s="12"/>
      <c r="D468" s="96"/>
      <c r="E468" s="10"/>
      <c r="F468" s="10"/>
      <c r="G468" s="99"/>
      <c r="H468" s="96"/>
      <c r="I468" s="10"/>
      <c r="J468" s="10"/>
      <c r="K468" s="99"/>
    </row>
    <row r="469" customFormat="false" ht="13.8" hidden="false" customHeight="false" outlineLevel="0" collapsed="false">
      <c r="A469" s="10" t="n">
        <f aca="false">A468+1</f>
        <v>467</v>
      </c>
      <c r="B469" s="11" t="str">
        <f aca="false">com.sun.star.sheet.addin.Analysis.getDec2Hex(2560+A469)</f>
        <v>BD3</v>
      </c>
      <c r="C469" s="12"/>
      <c r="D469" s="96"/>
      <c r="E469" s="10"/>
      <c r="F469" s="10"/>
      <c r="G469" s="99"/>
      <c r="H469" s="96"/>
      <c r="I469" s="10"/>
      <c r="J469" s="10"/>
      <c r="K469" s="99"/>
    </row>
    <row r="470" customFormat="false" ht="13.8" hidden="false" customHeight="false" outlineLevel="0" collapsed="false">
      <c r="A470" s="10" t="n">
        <f aca="false">A469+1</f>
        <v>468</v>
      </c>
      <c r="B470" s="11" t="str">
        <f aca="false">com.sun.star.sheet.addin.Analysis.getDec2Hex(2560+A470)</f>
        <v>BD4</v>
      </c>
      <c r="C470" s="12"/>
      <c r="D470" s="96"/>
      <c r="E470" s="10"/>
      <c r="F470" s="10"/>
      <c r="G470" s="99"/>
      <c r="H470" s="96"/>
      <c r="I470" s="10"/>
      <c r="J470" s="10"/>
      <c r="K470" s="99"/>
    </row>
    <row r="471" customFormat="false" ht="13.8" hidden="false" customHeight="false" outlineLevel="0" collapsed="false">
      <c r="A471" s="10" t="n">
        <f aca="false">A470+1</f>
        <v>469</v>
      </c>
      <c r="B471" s="11" t="str">
        <f aca="false">com.sun.star.sheet.addin.Analysis.getDec2Hex(2560+A471)</f>
        <v>BD5</v>
      </c>
      <c r="C471" s="12"/>
      <c r="D471" s="96"/>
      <c r="E471" s="10"/>
      <c r="F471" s="10"/>
      <c r="G471" s="99"/>
      <c r="H471" s="96"/>
      <c r="I471" s="10"/>
      <c r="J471" s="10"/>
      <c r="K471" s="99"/>
    </row>
    <row r="472" customFormat="false" ht="13.8" hidden="false" customHeight="false" outlineLevel="0" collapsed="false">
      <c r="A472" s="10" t="n">
        <f aca="false">A471+1</f>
        <v>470</v>
      </c>
      <c r="B472" s="11" t="str">
        <f aca="false">com.sun.star.sheet.addin.Analysis.getDec2Hex(2560+A472)</f>
        <v>BD6</v>
      </c>
      <c r="C472" s="12"/>
      <c r="D472" s="96"/>
      <c r="E472" s="10"/>
      <c r="F472" s="10"/>
      <c r="G472" s="99"/>
      <c r="H472" s="96"/>
      <c r="I472" s="10"/>
      <c r="J472" s="10"/>
      <c r="K472" s="99"/>
    </row>
    <row r="473" customFormat="false" ht="13.8" hidden="false" customHeight="false" outlineLevel="0" collapsed="false">
      <c r="A473" s="10" t="n">
        <f aca="false">A472+1</f>
        <v>471</v>
      </c>
      <c r="B473" s="11" t="str">
        <f aca="false">com.sun.star.sheet.addin.Analysis.getDec2Hex(2560+A473)</f>
        <v>BD7</v>
      </c>
      <c r="C473" s="12"/>
      <c r="D473" s="96"/>
      <c r="E473" s="10"/>
      <c r="F473" s="10"/>
      <c r="G473" s="99"/>
      <c r="H473" s="96"/>
      <c r="I473" s="10"/>
      <c r="J473" s="10"/>
      <c r="K473" s="99"/>
    </row>
    <row r="474" customFormat="false" ht="13.8" hidden="false" customHeight="false" outlineLevel="0" collapsed="false">
      <c r="A474" s="10" t="n">
        <f aca="false">A473+1</f>
        <v>472</v>
      </c>
      <c r="B474" s="11" t="str">
        <f aca="false">com.sun.star.sheet.addin.Analysis.getDec2Hex(2560+A474)</f>
        <v>BD8</v>
      </c>
      <c r="C474" s="12"/>
      <c r="D474" s="96"/>
      <c r="E474" s="10"/>
      <c r="F474" s="10"/>
      <c r="G474" s="99"/>
      <c r="H474" s="96"/>
      <c r="I474" s="10"/>
      <c r="J474" s="10"/>
      <c r="K474" s="99"/>
    </row>
    <row r="475" customFormat="false" ht="13.8" hidden="false" customHeight="false" outlineLevel="0" collapsed="false">
      <c r="A475" s="10" t="n">
        <f aca="false">A474+1</f>
        <v>473</v>
      </c>
      <c r="B475" s="11" t="str">
        <f aca="false">com.sun.star.sheet.addin.Analysis.getDec2Hex(2560+A475)</f>
        <v>BD9</v>
      </c>
      <c r="C475" s="12"/>
      <c r="D475" s="96"/>
      <c r="E475" s="10"/>
      <c r="F475" s="10"/>
      <c r="G475" s="99"/>
      <c r="H475" s="96"/>
      <c r="I475" s="10"/>
      <c r="J475" s="10"/>
      <c r="K475" s="99"/>
    </row>
    <row r="476" customFormat="false" ht="13.8" hidden="false" customHeight="false" outlineLevel="0" collapsed="false">
      <c r="A476" s="10" t="n">
        <f aca="false">A475+1</f>
        <v>474</v>
      </c>
      <c r="B476" s="11" t="str">
        <f aca="false">com.sun.star.sheet.addin.Analysis.getDec2Hex(2560+A476)</f>
        <v>BDA</v>
      </c>
      <c r="C476" s="12"/>
      <c r="D476" s="96"/>
      <c r="E476" s="10"/>
      <c r="F476" s="10"/>
      <c r="G476" s="99"/>
      <c r="H476" s="96"/>
      <c r="I476" s="10"/>
      <c r="J476" s="10"/>
      <c r="K476" s="99"/>
    </row>
    <row r="477" customFormat="false" ht="13.8" hidden="false" customHeight="false" outlineLevel="0" collapsed="false">
      <c r="A477" s="10" t="n">
        <f aca="false">A476+1</f>
        <v>475</v>
      </c>
      <c r="B477" s="11" t="str">
        <f aca="false">com.sun.star.sheet.addin.Analysis.getDec2Hex(2560+A477)</f>
        <v>BDB</v>
      </c>
      <c r="C477" s="12"/>
      <c r="D477" s="96"/>
      <c r="E477" s="10"/>
      <c r="F477" s="10"/>
      <c r="G477" s="99"/>
      <c r="H477" s="96"/>
      <c r="I477" s="10"/>
      <c r="J477" s="10"/>
      <c r="K477" s="99"/>
    </row>
    <row r="478" customFormat="false" ht="13.8" hidden="false" customHeight="false" outlineLevel="0" collapsed="false">
      <c r="A478" s="10" t="n">
        <f aca="false">A477+1</f>
        <v>476</v>
      </c>
      <c r="B478" s="11" t="str">
        <f aca="false">com.sun.star.sheet.addin.Analysis.getDec2Hex(2560+A478)</f>
        <v>BDC</v>
      </c>
      <c r="C478" s="12"/>
      <c r="D478" s="96"/>
      <c r="E478" s="10"/>
      <c r="F478" s="10"/>
      <c r="G478" s="99"/>
      <c r="H478" s="96"/>
      <c r="I478" s="10"/>
      <c r="J478" s="10"/>
      <c r="K478" s="99"/>
    </row>
    <row r="479" customFormat="false" ht="13.8" hidden="false" customHeight="false" outlineLevel="0" collapsed="false">
      <c r="A479" s="10" t="n">
        <f aca="false">A478+1</f>
        <v>477</v>
      </c>
      <c r="B479" s="11" t="str">
        <f aca="false">com.sun.star.sheet.addin.Analysis.getDec2Hex(2560+A479)</f>
        <v>BDD</v>
      </c>
      <c r="C479" s="12"/>
      <c r="D479" s="96"/>
      <c r="E479" s="10"/>
      <c r="F479" s="10"/>
      <c r="G479" s="99"/>
      <c r="H479" s="96"/>
      <c r="I479" s="10"/>
      <c r="J479" s="10"/>
      <c r="K479" s="99"/>
    </row>
    <row r="480" customFormat="false" ht="13.8" hidden="false" customHeight="false" outlineLevel="0" collapsed="false">
      <c r="A480" s="10" t="n">
        <f aca="false">A479+1</f>
        <v>478</v>
      </c>
      <c r="B480" s="11" t="str">
        <f aca="false">com.sun.star.sheet.addin.Analysis.getDec2Hex(2560+A480)</f>
        <v>BDE</v>
      </c>
      <c r="C480" s="12"/>
      <c r="D480" s="96"/>
      <c r="E480" s="10"/>
      <c r="F480" s="10"/>
      <c r="G480" s="99"/>
      <c r="H480" s="96"/>
      <c r="I480" s="10"/>
      <c r="J480" s="10"/>
      <c r="K480" s="99"/>
    </row>
    <row r="481" customFormat="false" ht="13.8" hidden="false" customHeight="false" outlineLevel="0" collapsed="false">
      <c r="A481" s="10" t="n">
        <f aca="false">A480+1</f>
        <v>479</v>
      </c>
      <c r="B481" s="11" t="str">
        <f aca="false">com.sun.star.sheet.addin.Analysis.getDec2Hex(2560+A481)</f>
        <v>BDF</v>
      </c>
      <c r="C481" s="12"/>
      <c r="D481" s="96"/>
      <c r="E481" s="10"/>
      <c r="F481" s="10"/>
      <c r="G481" s="99"/>
      <c r="H481" s="96"/>
      <c r="I481" s="10"/>
      <c r="J481" s="10"/>
      <c r="K481" s="99"/>
    </row>
    <row r="482" customFormat="false" ht="13.8" hidden="false" customHeight="false" outlineLevel="0" collapsed="false">
      <c r="A482" s="10" t="n">
        <f aca="false">A481+1</f>
        <v>480</v>
      </c>
      <c r="B482" s="11" t="str">
        <f aca="false">com.sun.star.sheet.addin.Analysis.getDec2Hex(2560+A482)</f>
        <v>BE0</v>
      </c>
      <c r="C482" s="12"/>
      <c r="D482" s="96"/>
      <c r="E482" s="10"/>
      <c r="F482" s="10"/>
      <c r="G482" s="99"/>
      <c r="H482" s="96"/>
      <c r="I482" s="10"/>
      <c r="J482" s="10"/>
      <c r="K482" s="99"/>
    </row>
    <row r="483" customFormat="false" ht="13.8" hidden="false" customHeight="false" outlineLevel="0" collapsed="false">
      <c r="A483" s="10" t="n">
        <f aca="false">A482+1</f>
        <v>481</v>
      </c>
      <c r="B483" s="11" t="str">
        <f aca="false">com.sun.star.sheet.addin.Analysis.getDec2Hex(2560+A483)</f>
        <v>BE1</v>
      </c>
      <c r="C483" s="12"/>
      <c r="D483" s="96"/>
      <c r="E483" s="10"/>
      <c r="F483" s="10"/>
      <c r="G483" s="99"/>
      <c r="H483" s="96"/>
      <c r="I483" s="10"/>
      <c r="J483" s="10"/>
      <c r="K483" s="99"/>
    </row>
    <row r="484" customFormat="false" ht="13.8" hidden="false" customHeight="false" outlineLevel="0" collapsed="false">
      <c r="A484" s="10" t="n">
        <f aca="false">A483+1</f>
        <v>482</v>
      </c>
      <c r="B484" s="11" t="str">
        <f aca="false">com.sun.star.sheet.addin.Analysis.getDec2Hex(2560+A484)</f>
        <v>BE2</v>
      </c>
      <c r="C484" s="12"/>
      <c r="D484" s="96"/>
      <c r="E484" s="10"/>
      <c r="F484" s="10"/>
      <c r="G484" s="99"/>
      <c r="H484" s="96"/>
      <c r="I484" s="10"/>
      <c r="J484" s="10"/>
      <c r="K484" s="99"/>
    </row>
    <row r="485" customFormat="false" ht="13.8" hidden="false" customHeight="false" outlineLevel="0" collapsed="false">
      <c r="A485" s="10" t="n">
        <f aca="false">A484+1</f>
        <v>483</v>
      </c>
      <c r="B485" s="11" t="str">
        <f aca="false">com.sun.star.sheet.addin.Analysis.getDec2Hex(2560+A485)</f>
        <v>BE3</v>
      </c>
      <c r="C485" s="12"/>
      <c r="D485" s="96"/>
      <c r="E485" s="10"/>
      <c r="F485" s="10"/>
      <c r="G485" s="99"/>
      <c r="H485" s="96"/>
      <c r="I485" s="10"/>
      <c r="J485" s="10"/>
      <c r="K485" s="99"/>
    </row>
    <row r="486" customFormat="false" ht="13.8" hidden="false" customHeight="false" outlineLevel="0" collapsed="false">
      <c r="A486" s="10" t="n">
        <f aca="false">A485+1</f>
        <v>484</v>
      </c>
      <c r="B486" s="11" t="str">
        <f aca="false">com.sun.star.sheet.addin.Analysis.getDec2Hex(2560+A486)</f>
        <v>BE4</v>
      </c>
      <c r="C486" s="12"/>
      <c r="D486" s="96"/>
      <c r="E486" s="10"/>
      <c r="F486" s="10"/>
      <c r="G486" s="99"/>
      <c r="H486" s="96"/>
      <c r="I486" s="10"/>
      <c r="J486" s="10"/>
      <c r="K486" s="99"/>
    </row>
    <row r="487" customFormat="false" ht="13.8" hidden="false" customHeight="false" outlineLevel="0" collapsed="false">
      <c r="A487" s="10" t="n">
        <f aca="false">A486+1</f>
        <v>485</v>
      </c>
      <c r="B487" s="11" t="str">
        <f aca="false">com.sun.star.sheet.addin.Analysis.getDec2Hex(2560+A487)</f>
        <v>BE5</v>
      </c>
      <c r="C487" s="12"/>
      <c r="D487" s="96"/>
      <c r="E487" s="10"/>
      <c r="F487" s="10"/>
      <c r="G487" s="99"/>
      <c r="H487" s="96"/>
      <c r="I487" s="10"/>
      <c r="J487" s="10"/>
      <c r="K487" s="99"/>
    </row>
    <row r="488" customFormat="false" ht="13.8" hidden="false" customHeight="false" outlineLevel="0" collapsed="false">
      <c r="A488" s="10" t="n">
        <f aca="false">A487+1</f>
        <v>486</v>
      </c>
      <c r="B488" s="11" t="str">
        <f aca="false">com.sun.star.sheet.addin.Analysis.getDec2Hex(2560+A488)</f>
        <v>BE6</v>
      </c>
      <c r="C488" s="12"/>
      <c r="D488" s="96"/>
      <c r="E488" s="10"/>
      <c r="F488" s="10"/>
      <c r="G488" s="99"/>
      <c r="H488" s="96"/>
      <c r="I488" s="10"/>
      <c r="J488" s="10"/>
      <c r="K488" s="99"/>
    </row>
    <row r="489" customFormat="false" ht="13.8" hidden="false" customHeight="false" outlineLevel="0" collapsed="false">
      <c r="A489" s="10" t="n">
        <f aca="false">A488+1</f>
        <v>487</v>
      </c>
      <c r="B489" s="11" t="str">
        <f aca="false">com.sun.star.sheet.addin.Analysis.getDec2Hex(2560+A489)</f>
        <v>BE7</v>
      </c>
      <c r="C489" s="12"/>
      <c r="D489" s="96"/>
      <c r="E489" s="10"/>
      <c r="F489" s="10"/>
      <c r="G489" s="99"/>
      <c r="H489" s="96"/>
      <c r="I489" s="10"/>
      <c r="J489" s="10"/>
      <c r="K489" s="99"/>
    </row>
    <row r="490" customFormat="false" ht="13.8" hidden="false" customHeight="false" outlineLevel="0" collapsed="false">
      <c r="A490" s="10" t="n">
        <f aca="false">A489+1</f>
        <v>488</v>
      </c>
      <c r="B490" s="11" t="str">
        <f aca="false">com.sun.star.sheet.addin.Analysis.getDec2Hex(2560+A490)</f>
        <v>BE8</v>
      </c>
      <c r="C490" s="12"/>
      <c r="D490" s="131" t="s">
        <v>511</v>
      </c>
      <c r="E490" s="131"/>
      <c r="F490" s="131"/>
      <c r="G490" s="131"/>
      <c r="H490" s="131"/>
      <c r="I490" s="131"/>
      <c r="J490" s="131"/>
      <c r="K490" s="131"/>
    </row>
    <row r="491" customFormat="false" ht="13.8" hidden="false" customHeight="false" outlineLevel="0" collapsed="false">
      <c r="A491" s="10" t="n">
        <f aca="false">A490+1</f>
        <v>489</v>
      </c>
      <c r="B491" s="11" t="str">
        <f aca="false">com.sun.star.sheet.addin.Analysis.getDec2Hex(2560+A491)</f>
        <v>BE9</v>
      </c>
      <c r="C491" s="12"/>
      <c r="D491" s="131"/>
      <c r="E491" s="131"/>
      <c r="F491" s="131"/>
      <c r="G491" s="131"/>
      <c r="H491" s="131"/>
      <c r="I491" s="131"/>
      <c r="J491" s="131"/>
      <c r="K491" s="131"/>
    </row>
    <row r="492" customFormat="false" ht="13.8" hidden="false" customHeight="false" outlineLevel="0" collapsed="false">
      <c r="A492" s="10" t="n">
        <f aca="false">A491+1</f>
        <v>490</v>
      </c>
      <c r="B492" s="11" t="str">
        <f aca="false">com.sun.star.sheet.addin.Analysis.getDec2Hex(2560+A492)</f>
        <v>BEA</v>
      </c>
      <c r="C492" s="12"/>
      <c r="D492" s="131" t="s">
        <v>512</v>
      </c>
      <c r="E492" s="131"/>
      <c r="F492" s="131"/>
      <c r="G492" s="131"/>
      <c r="H492" s="131"/>
      <c r="I492" s="131"/>
      <c r="J492" s="131"/>
      <c r="K492" s="131"/>
    </row>
    <row r="493" customFormat="false" ht="13.8" hidden="false" customHeight="false" outlineLevel="0" collapsed="false">
      <c r="A493" s="10" t="n">
        <f aca="false">A492+1</f>
        <v>491</v>
      </c>
      <c r="B493" s="11" t="str">
        <f aca="false">com.sun.star.sheet.addin.Analysis.getDec2Hex(2560+A493)</f>
        <v>BEB</v>
      </c>
      <c r="C493" s="12"/>
      <c r="D493" s="131"/>
      <c r="E493" s="131"/>
      <c r="F493" s="131"/>
      <c r="G493" s="131"/>
      <c r="H493" s="131"/>
      <c r="I493" s="131"/>
      <c r="J493" s="131"/>
      <c r="K493" s="131"/>
    </row>
    <row r="494" customFormat="false" ht="13.8" hidden="false" customHeight="false" outlineLevel="0" collapsed="false">
      <c r="A494" s="10" t="n">
        <f aca="false">A493+1</f>
        <v>492</v>
      </c>
      <c r="B494" s="11" t="str">
        <f aca="false">com.sun.star.sheet.addin.Analysis.getDec2Hex(2560+A494)</f>
        <v>BEC</v>
      </c>
      <c r="C494" s="12"/>
      <c r="D494" s="131" t="s">
        <v>513</v>
      </c>
      <c r="E494" s="131"/>
      <c r="F494" s="131"/>
      <c r="G494" s="131"/>
      <c r="H494" s="131"/>
      <c r="I494" s="131"/>
      <c r="J494" s="131"/>
      <c r="K494" s="131"/>
    </row>
    <row r="495" customFormat="false" ht="13.8" hidden="false" customHeight="false" outlineLevel="0" collapsed="false">
      <c r="A495" s="10" t="n">
        <f aca="false">A494+1</f>
        <v>493</v>
      </c>
      <c r="B495" s="11" t="str">
        <f aca="false">com.sun.star.sheet.addin.Analysis.getDec2Hex(2560+A495)</f>
        <v>BED</v>
      </c>
      <c r="C495" s="12"/>
      <c r="D495" s="131"/>
      <c r="E495" s="131"/>
      <c r="F495" s="131"/>
      <c r="G495" s="131"/>
      <c r="H495" s="131"/>
      <c r="I495" s="131"/>
      <c r="J495" s="131"/>
      <c r="K495" s="131"/>
    </row>
    <row r="496" customFormat="false" ht="13.8" hidden="false" customHeight="false" outlineLevel="0" collapsed="false">
      <c r="A496" s="10" t="n">
        <f aca="false">A495+1</f>
        <v>494</v>
      </c>
      <c r="B496" s="11" t="str">
        <f aca="false">com.sun.star.sheet.addin.Analysis.getDec2Hex(2560+A496)</f>
        <v>BEE</v>
      </c>
      <c r="C496" s="12"/>
      <c r="D496" s="131" t="s">
        <v>514</v>
      </c>
      <c r="E496" s="131"/>
      <c r="F496" s="131"/>
      <c r="G496" s="131"/>
      <c r="H496" s="131"/>
      <c r="I496" s="131"/>
      <c r="J496" s="131"/>
      <c r="K496" s="131"/>
    </row>
    <row r="497" customFormat="false" ht="13.8" hidden="false" customHeight="false" outlineLevel="0" collapsed="false">
      <c r="A497" s="10" t="n">
        <f aca="false">A496+1</f>
        <v>495</v>
      </c>
      <c r="B497" s="11" t="str">
        <f aca="false">com.sun.star.sheet.addin.Analysis.getDec2Hex(2560+A497)</f>
        <v>BEF</v>
      </c>
      <c r="C497" s="12"/>
      <c r="D497" s="131"/>
      <c r="E497" s="131"/>
      <c r="F497" s="131"/>
      <c r="G497" s="131"/>
      <c r="H497" s="131"/>
      <c r="I497" s="131"/>
      <c r="J497" s="131"/>
      <c r="K497" s="131"/>
    </row>
    <row r="498" customFormat="false" ht="13.8" hidden="false" customHeight="false" outlineLevel="0" collapsed="false">
      <c r="A498" s="10" t="n">
        <f aca="false">A497+1</f>
        <v>496</v>
      </c>
      <c r="B498" s="11" t="str">
        <f aca="false">com.sun.star.sheet.addin.Analysis.getDec2Hex(2560+A498)</f>
        <v>BF0</v>
      </c>
      <c r="C498" s="12"/>
      <c r="D498" s="131" t="s">
        <v>515</v>
      </c>
      <c r="E498" s="131"/>
      <c r="F498" s="131"/>
      <c r="G498" s="131"/>
      <c r="H498" s="131"/>
      <c r="I498" s="131"/>
      <c r="J498" s="131"/>
      <c r="K498" s="131"/>
    </row>
    <row r="499" customFormat="false" ht="13.8" hidden="false" customHeight="false" outlineLevel="0" collapsed="false">
      <c r="A499" s="10" t="n">
        <f aca="false">A498+1</f>
        <v>497</v>
      </c>
      <c r="B499" s="11" t="str">
        <f aca="false">com.sun.star.sheet.addin.Analysis.getDec2Hex(2560+A499)</f>
        <v>BF1</v>
      </c>
      <c r="C499" s="12"/>
      <c r="D499" s="131"/>
      <c r="E499" s="131"/>
      <c r="F499" s="131"/>
      <c r="G499" s="131"/>
      <c r="H499" s="131"/>
      <c r="I499" s="131"/>
      <c r="J499" s="131"/>
      <c r="K499" s="131"/>
    </row>
    <row r="500" customFormat="false" ht="13.8" hidden="false" customHeight="false" outlineLevel="0" collapsed="false">
      <c r="A500" s="10" t="n">
        <f aca="false">A499+1</f>
        <v>498</v>
      </c>
      <c r="B500" s="11" t="str">
        <f aca="false">com.sun.star.sheet.addin.Analysis.getDec2Hex(2560+A500)</f>
        <v>BF2</v>
      </c>
      <c r="C500" s="12"/>
      <c r="D500" s="131" t="s">
        <v>516</v>
      </c>
      <c r="E500" s="131"/>
      <c r="F500" s="131"/>
      <c r="G500" s="131"/>
      <c r="H500" s="131"/>
      <c r="I500" s="131"/>
      <c r="J500" s="131"/>
      <c r="K500" s="131"/>
    </row>
    <row r="501" customFormat="false" ht="13.8" hidden="false" customHeight="false" outlineLevel="0" collapsed="false">
      <c r="A501" s="10" t="n">
        <f aca="false">A500+1</f>
        <v>499</v>
      </c>
      <c r="B501" s="11" t="str">
        <f aca="false">com.sun.star.sheet.addin.Analysis.getDec2Hex(2560+A501)</f>
        <v>BF3</v>
      </c>
      <c r="C501" s="12"/>
      <c r="D501" s="131"/>
      <c r="E501" s="131"/>
      <c r="F501" s="131"/>
      <c r="G501" s="131"/>
      <c r="H501" s="131"/>
      <c r="I501" s="131"/>
      <c r="J501" s="131"/>
      <c r="K501" s="131"/>
    </row>
    <row r="502" customFormat="false" ht="13.8" hidden="false" customHeight="false" outlineLevel="0" collapsed="false">
      <c r="A502" s="10" t="n">
        <f aca="false">A501+1</f>
        <v>500</v>
      </c>
      <c r="B502" s="11" t="str">
        <f aca="false">com.sun.star.sheet.addin.Analysis.getDec2Hex(2560+A502)</f>
        <v>BF4</v>
      </c>
      <c r="C502" s="12"/>
      <c r="D502" s="131" t="s">
        <v>517</v>
      </c>
      <c r="E502" s="131"/>
      <c r="F502" s="131"/>
      <c r="G502" s="131"/>
      <c r="H502" s="131"/>
      <c r="I502" s="131"/>
      <c r="J502" s="131"/>
      <c r="K502" s="131"/>
    </row>
    <row r="503" customFormat="false" ht="13.8" hidden="false" customHeight="false" outlineLevel="0" collapsed="false">
      <c r="A503" s="10" t="n">
        <f aca="false">A502+1</f>
        <v>501</v>
      </c>
      <c r="B503" s="11" t="str">
        <f aca="false">com.sun.star.sheet.addin.Analysis.getDec2Hex(2560+A503)</f>
        <v>BF5</v>
      </c>
      <c r="C503" s="12"/>
      <c r="D503" s="131"/>
      <c r="E503" s="131"/>
      <c r="F503" s="131"/>
      <c r="G503" s="131"/>
      <c r="H503" s="131"/>
      <c r="I503" s="131"/>
      <c r="J503" s="131"/>
      <c r="K503" s="131"/>
    </row>
    <row r="504" customFormat="false" ht="13.8" hidden="false" customHeight="false" outlineLevel="0" collapsed="false">
      <c r="A504" s="10" t="n">
        <f aca="false">A503+1</f>
        <v>502</v>
      </c>
      <c r="B504" s="11" t="str">
        <f aca="false">com.sun.star.sheet.addin.Analysis.getDec2Hex(2560+A504)</f>
        <v>BF6</v>
      </c>
      <c r="C504" s="12"/>
      <c r="D504" s="131" t="s">
        <v>518</v>
      </c>
      <c r="E504" s="131"/>
      <c r="F504" s="131"/>
      <c r="G504" s="131"/>
      <c r="H504" s="131"/>
      <c r="I504" s="131"/>
      <c r="J504" s="131"/>
      <c r="K504" s="131"/>
    </row>
    <row r="505" customFormat="false" ht="13.8" hidden="false" customHeight="false" outlineLevel="0" collapsed="false">
      <c r="A505" s="10" t="n">
        <f aca="false">A504+1</f>
        <v>503</v>
      </c>
      <c r="B505" s="11" t="str">
        <f aca="false">com.sun.star.sheet.addin.Analysis.getDec2Hex(2560+A505)</f>
        <v>BF7</v>
      </c>
      <c r="C505" s="12"/>
      <c r="D505" s="131"/>
      <c r="E505" s="131"/>
      <c r="F505" s="131"/>
      <c r="G505" s="131"/>
      <c r="H505" s="131"/>
      <c r="I505" s="131"/>
      <c r="J505" s="131"/>
      <c r="K505" s="131"/>
    </row>
    <row r="506" customFormat="false" ht="13.8" hidden="false" customHeight="false" outlineLevel="0" collapsed="false">
      <c r="A506" s="10" t="n">
        <f aca="false">A505+1</f>
        <v>504</v>
      </c>
      <c r="B506" s="11" t="str">
        <f aca="false">com.sun.star.sheet.addin.Analysis.getDec2Hex(2560+A506)</f>
        <v>BF8</v>
      </c>
      <c r="C506" s="12"/>
      <c r="D506" s="131" t="s">
        <v>519</v>
      </c>
      <c r="E506" s="131"/>
      <c r="F506" s="131"/>
      <c r="G506" s="131"/>
      <c r="H506" s="131"/>
      <c r="I506" s="131"/>
      <c r="J506" s="131"/>
      <c r="K506" s="131"/>
    </row>
    <row r="507" customFormat="false" ht="13.8" hidden="false" customHeight="false" outlineLevel="0" collapsed="false">
      <c r="A507" s="10" t="n">
        <f aca="false">A506+1</f>
        <v>505</v>
      </c>
      <c r="B507" s="11" t="str">
        <f aca="false">com.sun.star.sheet.addin.Analysis.getDec2Hex(2560+A507)</f>
        <v>BF9</v>
      </c>
      <c r="C507" s="12"/>
      <c r="D507" s="131"/>
      <c r="E507" s="131"/>
      <c r="F507" s="131"/>
      <c r="G507" s="131"/>
      <c r="H507" s="131"/>
      <c r="I507" s="131"/>
      <c r="J507" s="131"/>
      <c r="K507" s="131"/>
    </row>
    <row r="508" customFormat="false" ht="13.8" hidden="false" customHeight="false" outlineLevel="0" collapsed="false">
      <c r="A508" s="10" t="n">
        <f aca="false">A507+1</f>
        <v>506</v>
      </c>
      <c r="B508" s="11" t="str">
        <f aca="false">com.sun.star.sheet.addin.Analysis.getDec2Hex(2560+A508)</f>
        <v>BFA</v>
      </c>
      <c r="C508" s="12"/>
      <c r="D508" s="131" t="s">
        <v>520</v>
      </c>
      <c r="E508" s="131"/>
      <c r="F508" s="131"/>
      <c r="G508" s="131"/>
      <c r="H508" s="131"/>
      <c r="I508" s="131"/>
      <c r="J508" s="131"/>
      <c r="K508" s="131"/>
    </row>
    <row r="509" customFormat="false" ht="13.8" hidden="false" customHeight="false" outlineLevel="0" collapsed="false">
      <c r="A509" s="10" t="n">
        <f aca="false">A508+1</f>
        <v>507</v>
      </c>
      <c r="B509" s="11" t="str">
        <f aca="false">com.sun.star.sheet.addin.Analysis.getDec2Hex(2560+A509)</f>
        <v>BFB</v>
      </c>
      <c r="C509" s="12"/>
      <c r="D509" s="131"/>
      <c r="E509" s="131"/>
      <c r="F509" s="131"/>
      <c r="G509" s="131"/>
      <c r="H509" s="131"/>
      <c r="I509" s="131"/>
      <c r="J509" s="131"/>
      <c r="K509" s="131"/>
    </row>
    <row r="510" customFormat="false" ht="13.8" hidden="false" customHeight="false" outlineLevel="0" collapsed="false">
      <c r="A510" s="10" t="n">
        <f aca="false">A509+1</f>
        <v>508</v>
      </c>
      <c r="B510" s="11" t="str">
        <f aca="false">com.sun.star.sheet.addin.Analysis.getDec2Hex(2560+A510)</f>
        <v>BFC</v>
      </c>
      <c r="C510" s="12"/>
      <c r="D510" s="131" t="s">
        <v>521</v>
      </c>
      <c r="E510" s="131"/>
      <c r="F510" s="131"/>
      <c r="G510" s="131"/>
      <c r="H510" s="131"/>
      <c r="I510" s="131"/>
      <c r="J510" s="131"/>
      <c r="K510" s="131"/>
    </row>
    <row r="511" customFormat="false" ht="13.8" hidden="false" customHeight="false" outlineLevel="0" collapsed="false">
      <c r="A511" s="10" t="n">
        <f aca="false">A510+1</f>
        <v>509</v>
      </c>
      <c r="B511" s="11" t="str">
        <f aca="false">com.sun.star.sheet.addin.Analysis.getDec2Hex(2560+A511)</f>
        <v>BFD</v>
      </c>
      <c r="C511" s="12"/>
      <c r="D511" s="131"/>
      <c r="E511" s="131"/>
      <c r="F511" s="131"/>
      <c r="G511" s="131"/>
      <c r="H511" s="131"/>
      <c r="I511" s="131"/>
      <c r="J511" s="131"/>
      <c r="K511" s="131"/>
    </row>
    <row r="512" customFormat="false" ht="13.8" hidden="false" customHeight="false" outlineLevel="0" collapsed="false">
      <c r="A512" s="10" t="n">
        <f aca="false">A511+1</f>
        <v>510</v>
      </c>
      <c r="B512" s="11" t="str">
        <f aca="false">com.sun.star.sheet.addin.Analysis.getDec2Hex(2560+A512)</f>
        <v>BFE</v>
      </c>
      <c r="C512" s="12"/>
      <c r="D512" s="131" t="s">
        <v>522</v>
      </c>
      <c r="E512" s="131"/>
      <c r="F512" s="131"/>
      <c r="G512" s="131"/>
      <c r="H512" s="131"/>
      <c r="I512" s="131"/>
      <c r="J512" s="131"/>
      <c r="K512" s="131"/>
    </row>
    <row r="513" customFormat="false" ht="13.8" hidden="false" customHeight="false" outlineLevel="0" collapsed="false">
      <c r="A513" s="10" t="n">
        <f aca="false">A512+1</f>
        <v>511</v>
      </c>
      <c r="B513" s="11" t="str">
        <f aca="false">com.sun.star.sheet.addin.Analysis.getDec2Hex(2560+A513)</f>
        <v>BFF</v>
      </c>
      <c r="C513" s="12"/>
      <c r="D513" s="131"/>
      <c r="E513" s="131"/>
      <c r="F513" s="131"/>
      <c r="G513" s="131"/>
      <c r="H513" s="131"/>
      <c r="I513" s="131"/>
      <c r="J513" s="131"/>
      <c r="K513" s="131"/>
    </row>
  </sheetData>
  <mergeCells count="77">
    <mergeCell ref="D2:K3"/>
    <mergeCell ref="D75:K75"/>
    <mergeCell ref="D76:K76"/>
    <mergeCell ref="D77:K77"/>
    <mergeCell ref="D78:K78"/>
    <mergeCell ref="D79:K79"/>
    <mergeCell ref="D80:K80"/>
    <mergeCell ref="D81:K81"/>
    <mergeCell ref="D90:K90"/>
    <mergeCell ref="D91:K91"/>
    <mergeCell ref="D92:K92"/>
    <mergeCell ref="D93:K93"/>
    <mergeCell ref="D94:K94"/>
    <mergeCell ref="D95:K95"/>
    <mergeCell ref="D96:G96"/>
    <mergeCell ref="H96:K96"/>
    <mergeCell ref="D168:K169"/>
    <mergeCell ref="D172:K173"/>
    <mergeCell ref="D174:K175"/>
    <mergeCell ref="D178:K179"/>
    <mergeCell ref="D182:K182"/>
    <mergeCell ref="D183:K183"/>
    <mergeCell ref="D184:K184"/>
    <mergeCell ref="D185:K185"/>
    <mergeCell ref="D186:K186"/>
    <mergeCell ref="D187:K187"/>
    <mergeCell ref="D188:K188"/>
    <mergeCell ref="D189:K189"/>
    <mergeCell ref="D190:K190"/>
    <mergeCell ref="D191:K191"/>
    <mergeCell ref="D192:K192"/>
    <mergeCell ref="D193:K193"/>
    <mergeCell ref="D194:K194"/>
    <mergeCell ref="D195:K195"/>
    <mergeCell ref="D196:K196"/>
    <mergeCell ref="D197:K197"/>
    <mergeCell ref="D198:K198"/>
    <mergeCell ref="D200:K200"/>
    <mergeCell ref="D202:K202"/>
    <mergeCell ref="D204:K204"/>
    <mergeCell ref="D206:K206"/>
    <mergeCell ref="D208:K208"/>
    <mergeCell ref="D210:K210"/>
    <mergeCell ref="D214:K214"/>
    <mergeCell ref="D216:K217"/>
    <mergeCell ref="D218:K219"/>
    <mergeCell ref="D220:K221"/>
    <mergeCell ref="D222:K222"/>
    <mergeCell ref="D224:K224"/>
    <mergeCell ref="D226:K226"/>
    <mergeCell ref="D234:K234"/>
    <mergeCell ref="D238:K239"/>
    <mergeCell ref="D240:K241"/>
    <mergeCell ref="D250:K250"/>
    <mergeCell ref="D280:K280"/>
    <mergeCell ref="D286:K286"/>
    <mergeCell ref="D292:K292"/>
    <mergeCell ref="D294:K294"/>
    <mergeCell ref="D296:K296"/>
    <mergeCell ref="D298:K299"/>
    <mergeCell ref="D300:K301"/>
    <mergeCell ref="D302:K303"/>
    <mergeCell ref="D304:K305"/>
    <mergeCell ref="D306:K307"/>
    <mergeCell ref="D308:K309"/>
    <mergeCell ref="D490:K491"/>
    <mergeCell ref="D492:K493"/>
    <mergeCell ref="D494:K495"/>
    <mergeCell ref="D496:K497"/>
    <mergeCell ref="D498:K499"/>
    <mergeCell ref="D500:K501"/>
    <mergeCell ref="D502:K503"/>
    <mergeCell ref="D504:K505"/>
    <mergeCell ref="D506:K507"/>
    <mergeCell ref="D508:K509"/>
    <mergeCell ref="D510:K511"/>
    <mergeCell ref="D512:K513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513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" activePane="bottomLeft" state="frozen"/>
      <selection pane="topLeft" activeCell="B1" activeCellId="0" sqref="B1"/>
      <selection pane="bottomLeft" activeCell="K4" activeCellId="0" sqref="K4"/>
    </sheetView>
  </sheetViews>
  <sheetFormatPr defaultColWidth="9.01953125" defaultRowHeight="15" zeroHeight="false" outlineLevelRow="0" outlineLevelCol="0"/>
  <cols>
    <col collapsed="false" customWidth="true" hidden="true" outlineLevel="0" max="1" min="1" style="1" width="3.99"/>
    <col collapsed="false" customWidth="true" hidden="false" outlineLevel="0" max="2" min="2" style="2" width="5.29"/>
    <col collapsed="false" customWidth="true" hidden="false" outlineLevel="0" max="3" min="3" style="2" width="8.86"/>
    <col collapsed="false" customWidth="true" hidden="false" outlineLevel="0" max="4" min="4" style="144" width="23.71"/>
    <col collapsed="false" customWidth="true" hidden="false" outlineLevel="0" max="7" min="5" style="1" width="23.71"/>
    <col collapsed="false" customWidth="true" hidden="false" outlineLevel="0" max="8" min="8" style="4" width="23.71"/>
    <col collapsed="false" customWidth="true" hidden="false" outlineLevel="0" max="11" min="9" style="1" width="23.71"/>
    <col collapsed="false" customWidth="true" hidden="false" outlineLevel="0" max="12" min="12" style="4" width="11.71"/>
    <col collapsed="false" customWidth="true" hidden="false" outlineLevel="0" max="13" min="13" style="1" width="9.86"/>
    <col collapsed="false" customWidth="false" hidden="false" outlineLevel="0" max="14" min="14" style="1" width="9"/>
  </cols>
  <sheetData>
    <row r="1" customFormat="false" ht="15" hidden="false" customHeight="false" outlineLevel="0" collapsed="false">
      <c r="A1" s="5" t="s">
        <v>0</v>
      </c>
      <c r="B1" s="6" t="s">
        <v>1</v>
      </c>
      <c r="C1" s="6" t="s">
        <v>2</v>
      </c>
      <c r="D1" s="145" t="n">
        <v>7</v>
      </c>
      <c r="E1" s="5" t="n">
        <v>6</v>
      </c>
      <c r="F1" s="5" t="n">
        <v>5</v>
      </c>
      <c r="G1" s="9" t="n">
        <v>4</v>
      </c>
      <c r="H1" s="8" t="n">
        <v>3</v>
      </c>
      <c r="I1" s="5" t="n">
        <v>2</v>
      </c>
      <c r="J1" s="5" t="n">
        <v>1</v>
      </c>
      <c r="K1" s="9" t="n">
        <v>0</v>
      </c>
      <c r="L1" s="8" t="s">
        <v>523</v>
      </c>
      <c r="M1" s="8" t="s">
        <v>524</v>
      </c>
    </row>
    <row r="2" customFormat="false" ht="15" hidden="false" customHeight="false" outlineLevel="0" collapsed="false">
      <c r="A2" s="10" t="n">
        <v>0</v>
      </c>
      <c r="B2" s="11" t="str">
        <f aca="false">com.sun.star.sheet.addin.Analysis.getDec2Hex(2560+A2)</f>
        <v>A00</v>
      </c>
      <c r="C2" s="11" t="str">
        <f aca="false">8*A2&amp;"-"&amp;(8*A2+7)</f>
        <v>0-7</v>
      </c>
      <c r="D2" s="131" t="s">
        <v>3</v>
      </c>
      <c r="E2" s="131"/>
      <c r="F2" s="131"/>
      <c r="G2" s="131"/>
      <c r="H2" s="131"/>
      <c r="I2" s="131"/>
      <c r="J2" s="131"/>
      <c r="K2" s="131"/>
      <c r="M2" s="1" t="n">
        <v>16</v>
      </c>
      <c r="N2" s="1" t="str">
        <f aca="false">com.sun.star.sheet.addin.Analysis.getDec2Hex(M2)</f>
        <v>10</v>
      </c>
    </row>
    <row r="3" customFormat="false" ht="15.75" hidden="false" customHeight="false" outlineLevel="0" collapsed="false">
      <c r="A3" s="10" t="n">
        <f aca="false">A2+1</f>
        <v>1</v>
      </c>
      <c r="B3" s="11" t="str">
        <f aca="false">com.sun.star.sheet.addin.Analysis.getDec2Hex(2560+A3)</f>
        <v>A01</v>
      </c>
      <c r="C3" s="11" t="str">
        <f aca="false">8*A3&amp;"-"&amp;(8*A3+7)</f>
        <v>8-15</v>
      </c>
      <c r="D3" s="131"/>
      <c r="E3" s="131"/>
      <c r="F3" s="131"/>
      <c r="G3" s="131"/>
      <c r="H3" s="131"/>
      <c r="I3" s="131"/>
      <c r="J3" s="131"/>
      <c r="K3" s="131"/>
      <c r="M3" s="1" t="n">
        <v>17</v>
      </c>
      <c r="N3" s="1" t="str">
        <f aca="false">com.sun.star.sheet.addin.Analysis.getDec2Hex(M3)</f>
        <v>11</v>
      </c>
    </row>
    <row r="4" customFormat="false" ht="15.75" hidden="false" customHeight="false" outlineLevel="0" collapsed="false">
      <c r="A4" s="10" t="n">
        <f aca="false">A3+1</f>
        <v>2</v>
      </c>
      <c r="B4" s="11" t="str">
        <f aca="false">com.sun.star.sheet.addin.Analysis.getDec2Hex(2560+A4)</f>
        <v>A02</v>
      </c>
      <c r="C4" s="11" t="str">
        <f aca="false">8*A4&amp;"-"&amp;(8*A4+7)</f>
        <v>16-23</v>
      </c>
      <c r="D4" s="35" t="s">
        <v>4</v>
      </c>
      <c r="E4" s="48" t="s">
        <v>5</v>
      </c>
      <c r="F4" s="48" t="s">
        <v>525</v>
      </c>
      <c r="G4" s="50" t="s">
        <v>526</v>
      </c>
      <c r="H4" s="53" t="s">
        <v>527</v>
      </c>
      <c r="I4" s="48" t="s">
        <v>528</v>
      </c>
      <c r="J4" s="50" t="s">
        <v>529</v>
      </c>
      <c r="K4" s="16" t="s">
        <v>11</v>
      </c>
      <c r="L4" s="144" t="s">
        <v>530</v>
      </c>
      <c r="M4" s="1" t="n">
        <v>18</v>
      </c>
      <c r="N4" s="1" t="str">
        <f aca="false">com.sun.star.sheet.addin.Analysis.getDec2Hex(M4)</f>
        <v>12</v>
      </c>
    </row>
    <row r="5" customFormat="false" ht="15.75" hidden="false" customHeight="false" outlineLevel="0" collapsed="false">
      <c r="A5" s="10" t="n">
        <f aca="false">A4+1</f>
        <v>3</v>
      </c>
      <c r="B5" s="11" t="str">
        <f aca="false">com.sun.star.sheet.addin.Analysis.getDec2Hex(2560+A5)</f>
        <v>A03</v>
      </c>
      <c r="C5" s="11" t="str">
        <f aca="false">8*A5&amp;"-"&amp;(8*A5+7)</f>
        <v>24-31</v>
      </c>
      <c r="D5" s="146"/>
      <c r="E5" s="26"/>
      <c r="F5" s="48" t="s">
        <v>14</v>
      </c>
      <c r="G5" s="50" t="s">
        <v>15</v>
      </c>
      <c r="H5" s="53" t="s">
        <v>16</v>
      </c>
      <c r="I5" s="48" t="s">
        <v>17</v>
      </c>
      <c r="J5" s="48" t="s">
        <v>18</v>
      </c>
      <c r="K5" s="20"/>
      <c r="L5" s="4" t="s">
        <v>531</v>
      </c>
      <c r="M5" s="1" t="n">
        <v>19</v>
      </c>
      <c r="N5" s="1" t="str">
        <f aca="false">com.sun.star.sheet.addin.Analysis.getDec2Hex(M5)</f>
        <v>13</v>
      </c>
    </row>
    <row r="6" customFormat="false" ht="15.75" hidden="false" customHeight="false" outlineLevel="0" collapsed="false">
      <c r="A6" s="10" t="n">
        <f aca="false">A5+1</f>
        <v>4</v>
      </c>
      <c r="B6" s="11" t="str">
        <f aca="false">com.sun.star.sheet.addin.Analysis.getDec2Hex(2560+A6)</f>
        <v>A04</v>
      </c>
      <c r="C6" s="99" t="str">
        <f aca="false">8*A6&amp;"-"&amp;(8*A6+7)</f>
        <v>32-39</v>
      </c>
      <c r="D6" s="16" t="s">
        <v>20</v>
      </c>
      <c r="E6" s="22" t="s">
        <v>21</v>
      </c>
      <c r="F6" s="27" t="s">
        <v>22</v>
      </c>
      <c r="G6" s="27" t="s">
        <v>23</v>
      </c>
      <c r="H6" s="28" t="s">
        <v>24</v>
      </c>
      <c r="I6" s="27" t="s">
        <v>25</v>
      </c>
      <c r="J6" s="27" t="s">
        <v>26</v>
      </c>
      <c r="K6" s="25"/>
      <c r="L6" s="4" t="n">
        <v>80</v>
      </c>
      <c r="M6" s="1" t="n">
        <v>20</v>
      </c>
      <c r="N6" s="1" t="str">
        <f aca="false">com.sun.star.sheet.addin.Analysis.getDec2Hex(M6)</f>
        <v>14</v>
      </c>
    </row>
    <row r="7" customFormat="false" ht="15" hidden="false" customHeight="false" outlineLevel="0" collapsed="false">
      <c r="A7" s="10" t="n">
        <f aca="false">A6+1</f>
        <v>5</v>
      </c>
      <c r="B7" s="11" t="str">
        <f aca="false">com.sun.star.sheet.addin.Analysis.getDec2Hex(2560+A7)</f>
        <v>A05</v>
      </c>
      <c r="C7" s="11" t="str">
        <f aca="false">8*A7&amp;"-"&amp;(8*A7+7)</f>
        <v>40-47</v>
      </c>
      <c r="D7" s="23" t="s">
        <v>27</v>
      </c>
      <c r="E7" s="26"/>
      <c r="F7" s="27" t="s">
        <v>28</v>
      </c>
      <c r="G7" s="25"/>
      <c r="H7" s="47"/>
      <c r="I7" s="27" t="s">
        <v>30</v>
      </c>
      <c r="J7" s="26"/>
      <c r="K7" s="25"/>
      <c r="L7" s="4" t="s">
        <v>532</v>
      </c>
      <c r="M7" s="1" t="n">
        <v>21</v>
      </c>
      <c r="N7" s="1" t="str">
        <f aca="false">com.sun.star.sheet.addin.Analysis.getDec2Hex(M7)</f>
        <v>15</v>
      </c>
    </row>
    <row r="8" customFormat="false" ht="15" hidden="false" customHeight="false" outlineLevel="0" collapsed="false">
      <c r="A8" s="10" t="n">
        <f aca="false">A7+1</f>
        <v>6</v>
      </c>
      <c r="B8" s="11" t="str">
        <f aca="false">com.sun.star.sheet.addin.Analysis.getDec2Hex(2560+A8)</f>
        <v>A06</v>
      </c>
      <c r="C8" s="11" t="str">
        <f aca="false">8*A8&amp;"-"&amp;(8*A8+7)</f>
        <v>48-55</v>
      </c>
      <c r="D8" s="35" t="s">
        <v>32</v>
      </c>
      <c r="E8" s="26"/>
      <c r="F8" s="27" t="s">
        <v>34</v>
      </c>
      <c r="G8" s="25"/>
      <c r="H8" s="47"/>
      <c r="I8" s="27" t="s">
        <v>37</v>
      </c>
      <c r="J8" s="33" t="s">
        <v>38</v>
      </c>
      <c r="K8" s="33" t="s">
        <v>39</v>
      </c>
      <c r="L8" s="4" t="s">
        <v>533</v>
      </c>
      <c r="M8" s="1" t="n">
        <v>22</v>
      </c>
      <c r="N8" s="1" t="str">
        <f aca="false">com.sun.star.sheet.addin.Analysis.getDec2Hex(M8)</f>
        <v>16</v>
      </c>
    </row>
    <row r="9" customFormat="false" ht="15" hidden="false" customHeight="false" outlineLevel="0" collapsed="false">
      <c r="A9" s="10" t="n">
        <f aca="false">A8+1</f>
        <v>7</v>
      </c>
      <c r="B9" s="11" t="str">
        <f aca="false">com.sun.star.sheet.addin.Analysis.getDec2Hex(2560+A9)</f>
        <v>A07</v>
      </c>
      <c r="C9" s="11" t="str">
        <f aca="false">8*A9&amp;"-"&amp;(8*A9+7)</f>
        <v>56-63</v>
      </c>
      <c r="D9" s="35" t="s">
        <v>40</v>
      </c>
      <c r="E9" s="48" t="s">
        <v>534</v>
      </c>
      <c r="F9" s="48" t="s">
        <v>42</v>
      </c>
      <c r="G9" s="48" t="s">
        <v>43</v>
      </c>
      <c r="H9" s="53" t="s">
        <v>44</v>
      </c>
      <c r="I9" s="48" t="s">
        <v>535</v>
      </c>
      <c r="J9" s="26"/>
      <c r="K9" s="25"/>
      <c r="L9" s="4" t="s">
        <v>536</v>
      </c>
      <c r="M9" s="1" t="n">
        <v>23</v>
      </c>
      <c r="N9" s="1" t="str">
        <f aca="false">com.sun.star.sheet.addin.Analysis.getDec2Hex(M9)</f>
        <v>17</v>
      </c>
    </row>
    <row r="10" customFormat="false" ht="15" hidden="false" customHeight="false" outlineLevel="0" collapsed="false">
      <c r="A10" s="10" t="n">
        <f aca="false">A9+1</f>
        <v>8</v>
      </c>
      <c r="B10" s="11" t="str">
        <f aca="false">com.sun.star.sheet.addin.Analysis.getDec2Hex(2560+A10)</f>
        <v>A08</v>
      </c>
      <c r="C10" s="11" t="str">
        <f aca="false">8*A10&amp;"-"&amp;(8*A10+7)</f>
        <v>64-71</v>
      </c>
      <c r="D10" s="37"/>
      <c r="E10" s="27" t="s">
        <v>47</v>
      </c>
      <c r="F10" s="26"/>
      <c r="G10" s="25"/>
      <c r="H10" s="47"/>
      <c r="I10" s="27" t="s">
        <v>49</v>
      </c>
      <c r="J10" s="48" t="s">
        <v>537</v>
      </c>
      <c r="K10" s="33" t="s">
        <v>51</v>
      </c>
      <c r="L10" s="4" t="s">
        <v>538</v>
      </c>
      <c r="M10" s="1" t="n">
        <v>25</v>
      </c>
      <c r="N10" s="1" t="str">
        <f aca="false">com.sun.star.sheet.addin.Analysis.getDec2Hex(M10)</f>
        <v>19</v>
      </c>
    </row>
    <row r="11" customFormat="false" ht="15" hidden="false" customHeight="false" outlineLevel="0" collapsed="false">
      <c r="A11" s="10" t="n">
        <f aca="false">A10+1</f>
        <v>9</v>
      </c>
      <c r="B11" s="11" t="str">
        <f aca="false">com.sun.star.sheet.addin.Analysis.getDec2Hex(2560+A11)</f>
        <v>A09</v>
      </c>
      <c r="C11" s="11" t="str">
        <f aca="false">8*A11&amp;"-"&amp;(8*A11+7)</f>
        <v>72-79</v>
      </c>
      <c r="D11" s="50" t="s">
        <v>52</v>
      </c>
      <c r="E11" s="50" t="s">
        <v>539</v>
      </c>
      <c r="F11" s="50" t="s">
        <v>54</v>
      </c>
      <c r="G11" s="33" t="s">
        <v>55</v>
      </c>
      <c r="H11" s="53" t="s">
        <v>56</v>
      </c>
      <c r="I11" s="48" t="s">
        <v>57</v>
      </c>
      <c r="J11" s="48" t="s">
        <v>58</v>
      </c>
      <c r="K11" s="33" t="s">
        <v>59</v>
      </c>
      <c r="L11" s="4" t="s">
        <v>540</v>
      </c>
      <c r="M11" s="1" t="n">
        <v>26</v>
      </c>
      <c r="N11" s="1" t="str">
        <f aca="false">com.sun.star.sheet.addin.Analysis.getDec2Hex(M11)</f>
        <v>1A</v>
      </c>
      <c r="O11" s="44" t="s">
        <v>60</v>
      </c>
    </row>
    <row r="12" customFormat="false" ht="15" hidden="false" customHeight="false" outlineLevel="0" collapsed="false">
      <c r="A12" s="10" t="n">
        <f aca="false">A11+1</f>
        <v>10</v>
      </c>
      <c r="B12" s="11" t="str">
        <f aca="false">com.sun.star.sheet.addin.Analysis.getDec2Hex(2560+A12)</f>
        <v>A0A</v>
      </c>
      <c r="C12" s="11" t="str">
        <f aca="false">8*A12&amp;"-"&amp;(8*A12+7)</f>
        <v>80-87</v>
      </c>
      <c r="D12" s="50" t="s">
        <v>61</v>
      </c>
      <c r="E12" s="50" t="s">
        <v>62</v>
      </c>
      <c r="F12" s="26"/>
      <c r="G12" s="33" t="s">
        <v>63</v>
      </c>
      <c r="H12" s="28" t="s">
        <v>64</v>
      </c>
      <c r="I12" s="26"/>
      <c r="J12" s="27" t="s">
        <v>66</v>
      </c>
      <c r="K12" s="33" t="s">
        <v>67</v>
      </c>
      <c r="L12" s="4" t="s">
        <v>541</v>
      </c>
      <c r="M12" s="1" t="n">
        <v>27</v>
      </c>
      <c r="N12" s="1" t="str">
        <f aca="false">com.sun.star.sheet.addin.Analysis.getDec2Hex(M12)</f>
        <v>1B</v>
      </c>
    </row>
    <row r="13" customFormat="false" ht="15" hidden="false" customHeight="false" outlineLevel="0" collapsed="false">
      <c r="A13" s="10" t="n">
        <f aca="false">A12+1</f>
        <v>11</v>
      </c>
      <c r="B13" s="11" t="str">
        <f aca="false">com.sun.star.sheet.addin.Analysis.getDec2Hex(2560+A13)</f>
        <v>A0B</v>
      </c>
      <c r="C13" s="11" t="str">
        <f aca="false">8*A13&amp;"-"&amp;(8*A13+7)</f>
        <v>88-95</v>
      </c>
      <c r="D13" s="37"/>
      <c r="E13" s="27" t="s">
        <v>68</v>
      </c>
      <c r="F13" s="27" t="s">
        <v>69</v>
      </c>
      <c r="G13" s="33" t="s">
        <v>70</v>
      </c>
      <c r="H13" s="28" t="s">
        <v>71</v>
      </c>
      <c r="I13" s="48" t="s">
        <v>72</v>
      </c>
      <c r="J13" s="48" t="s">
        <v>73</v>
      </c>
      <c r="K13" s="48" t="s">
        <v>74</v>
      </c>
      <c r="L13" s="4" t="s">
        <v>542</v>
      </c>
      <c r="M13" s="1" t="n">
        <v>28</v>
      </c>
      <c r="N13" s="1" t="str">
        <f aca="false">com.sun.star.sheet.addin.Analysis.getDec2Hex(M13)</f>
        <v>1C</v>
      </c>
    </row>
    <row r="14" customFormat="false" ht="15" hidden="false" customHeight="false" outlineLevel="0" collapsed="false">
      <c r="A14" s="10" t="n">
        <f aca="false">A13+1</f>
        <v>12</v>
      </c>
      <c r="B14" s="11" t="str">
        <f aca="false">com.sun.star.sheet.addin.Analysis.getDec2Hex(2560+A14)</f>
        <v>A0C</v>
      </c>
      <c r="C14" s="11" t="str">
        <f aca="false">8*A14&amp;"-"&amp;(8*A14+7)</f>
        <v>96-103</v>
      </c>
      <c r="D14" s="50" t="s">
        <v>75</v>
      </c>
      <c r="E14" s="50" t="s">
        <v>76</v>
      </c>
      <c r="F14" s="50" t="s">
        <v>77</v>
      </c>
      <c r="G14" s="50" t="s">
        <v>78</v>
      </c>
      <c r="H14" s="28" t="s">
        <v>79</v>
      </c>
      <c r="I14" s="27" t="s">
        <v>80</v>
      </c>
      <c r="J14" s="27" t="s">
        <v>81</v>
      </c>
      <c r="K14" s="33" t="s">
        <v>82</v>
      </c>
      <c r="L14" s="4" t="s">
        <v>543</v>
      </c>
      <c r="M14" s="1" t="n">
        <v>29</v>
      </c>
      <c r="N14" s="1" t="str">
        <f aca="false">com.sun.star.sheet.addin.Analysis.getDec2Hex(M14)</f>
        <v>1D</v>
      </c>
    </row>
    <row r="15" customFormat="false" ht="15" hidden="false" customHeight="false" outlineLevel="0" collapsed="false">
      <c r="A15" s="10" t="n">
        <f aca="false">A14+1</f>
        <v>13</v>
      </c>
      <c r="B15" s="11" t="str">
        <f aca="false">com.sun.star.sheet.addin.Analysis.getDec2Hex(2560+A15)</f>
        <v>A0D</v>
      </c>
      <c r="C15" s="11" t="str">
        <f aca="false">8*A15&amp;"-"&amp;(8*A15+7)</f>
        <v>104-111</v>
      </c>
      <c r="D15" s="50" t="s">
        <v>83</v>
      </c>
      <c r="E15" s="50" t="s">
        <v>84</v>
      </c>
      <c r="F15" s="50" t="s">
        <v>85</v>
      </c>
      <c r="G15" s="48" t="s">
        <v>86</v>
      </c>
      <c r="H15" s="53" t="s">
        <v>87</v>
      </c>
      <c r="I15" s="79" t="s">
        <v>544</v>
      </c>
      <c r="J15" s="27" t="s">
        <v>89</v>
      </c>
      <c r="K15" s="48" t="s">
        <v>90</v>
      </c>
      <c r="L15" s="4" t="s">
        <v>545</v>
      </c>
      <c r="M15" s="1" t="n">
        <v>39</v>
      </c>
      <c r="N15" s="1" t="str">
        <f aca="false">com.sun.star.sheet.addin.Analysis.getDec2Hex(M15)</f>
        <v>27</v>
      </c>
    </row>
    <row r="16" customFormat="false" ht="15" hidden="false" customHeight="false" outlineLevel="0" collapsed="false">
      <c r="A16" s="10" t="n">
        <f aca="false">A15+1</f>
        <v>14</v>
      </c>
      <c r="B16" s="11" t="str">
        <f aca="false">com.sun.star.sheet.addin.Analysis.getDec2Hex(2560+A16)</f>
        <v>A0E</v>
      </c>
      <c r="C16" s="11" t="str">
        <f aca="false">8*A16&amp;"-"&amp;(8*A16+7)</f>
        <v>112-119</v>
      </c>
      <c r="D16" s="50" t="s">
        <v>91</v>
      </c>
      <c r="E16" s="50" t="s">
        <v>92</v>
      </c>
      <c r="F16" s="50" t="s">
        <v>93</v>
      </c>
      <c r="G16" s="48" t="s">
        <v>94</v>
      </c>
      <c r="H16" s="53" t="s">
        <v>95</v>
      </c>
      <c r="I16" s="48" t="s">
        <v>96</v>
      </c>
      <c r="J16" s="48" t="s">
        <v>97</v>
      </c>
      <c r="K16" s="33" t="s">
        <v>98</v>
      </c>
      <c r="L16" s="4" t="s">
        <v>546</v>
      </c>
      <c r="M16" s="1" t="n">
        <v>42</v>
      </c>
      <c r="N16" s="1" t="str">
        <f aca="false">com.sun.star.sheet.addin.Analysis.getDec2Hex(M16)</f>
        <v>2A</v>
      </c>
    </row>
    <row r="17" s="62" customFormat="true" ht="15" hidden="false" customHeight="false" outlineLevel="0" collapsed="false">
      <c r="A17" s="54" t="n">
        <f aca="false">A16+1</f>
        <v>15</v>
      </c>
      <c r="B17" s="55" t="str">
        <f aca="false">com.sun.star.sheet.addin.Analysis.getDec2Hex(2560+A17)</f>
        <v>A0F</v>
      </c>
      <c r="C17" s="147" t="str">
        <f aca="false">8*A17&amp;"-"&amp;(8*A17+7)</f>
        <v>120-127</v>
      </c>
      <c r="D17" s="57" t="s">
        <v>99</v>
      </c>
      <c r="E17" s="58" t="s">
        <v>100</v>
      </c>
      <c r="F17" s="59" t="s">
        <v>101</v>
      </c>
      <c r="G17" s="59" t="s">
        <v>102</v>
      </c>
      <c r="H17" s="57" t="s">
        <v>103</v>
      </c>
      <c r="I17" s="59" t="s">
        <v>104</v>
      </c>
      <c r="J17" s="58" t="s">
        <v>105</v>
      </c>
      <c r="K17" s="61" t="s">
        <v>544</v>
      </c>
      <c r="L17" s="148" t="s">
        <v>538</v>
      </c>
      <c r="M17" s="149" t="n">
        <v>55</v>
      </c>
      <c r="N17" s="149" t="str">
        <f aca="false">com.sun.star.sheet.addin.Analysis.getDec2Hex(M17)</f>
        <v>37</v>
      </c>
    </row>
    <row r="18" customFormat="false" ht="15" hidden="false" customHeight="false" outlineLevel="0" collapsed="false">
      <c r="A18" s="63" t="n">
        <f aca="false">A17+1</f>
        <v>16</v>
      </c>
      <c r="B18" s="64" t="str">
        <f aca="false">com.sun.star.sheet.addin.Analysis.getDec2Hex(2560+A18)</f>
        <v>A10</v>
      </c>
      <c r="C18" s="64" t="str">
        <f aca="false">8*A18&amp;"-"&amp;(8*A18+7)</f>
        <v>128-135</v>
      </c>
      <c r="D18" s="24" t="s">
        <v>107</v>
      </c>
      <c r="E18" s="48" t="s">
        <v>108</v>
      </c>
      <c r="F18" s="27" t="s">
        <v>109</v>
      </c>
      <c r="G18" s="48" t="s">
        <v>110</v>
      </c>
      <c r="H18" s="67" t="s">
        <v>111</v>
      </c>
      <c r="I18" s="48" t="s">
        <v>112</v>
      </c>
      <c r="J18" s="33" t="s">
        <v>113</v>
      </c>
      <c r="K18" s="33" t="s">
        <v>114</v>
      </c>
      <c r="L18" s="4" t="s">
        <v>547</v>
      </c>
      <c r="M18" s="1" t="n">
        <v>58</v>
      </c>
      <c r="N18" s="1" t="str">
        <f aca="false">com.sun.star.sheet.addin.Analysis.getDec2Hex(M18)</f>
        <v>3A</v>
      </c>
    </row>
    <row r="19" customFormat="false" ht="15" hidden="false" customHeight="false" outlineLevel="0" collapsed="false">
      <c r="A19" s="10" t="n">
        <f aca="false">A18+1</f>
        <v>17</v>
      </c>
      <c r="B19" s="11" t="str">
        <f aca="false">com.sun.star.sheet.addin.Analysis.getDec2Hex(2560+A19)</f>
        <v>A11</v>
      </c>
      <c r="C19" s="11" t="str">
        <f aca="false">8*A19&amp;"-"&amp;(8*A19+7)</f>
        <v>136-143</v>
      </c>
      <c r="D19" s="37"/>
      <c r="E19" s="50" t="s">
        <v>115</v>
      </c>
      <c r="F19" s="50" t="s">
        <v>116</v>
      </c>
      <c r="G19" s="50" t="s">
        <v>117</v>
      </c>
      <c r="H19" s="53" t="s">
        <v>120</v>
      </c>
      <c r="I19" s="48" t="s">
        <v>119</v>
      </c>
      <c r="J19" s="48" t="s">
        <v>548</v>
      </c>
      <c r="K19" s="33" t="s">
        <v>121</v>
      </c>
      <c r="M19" s="1" t="n">
        <v>59</v>
      </c>
      <c r="N19" s="1" t="str">
        <f aca="false">com.sun.star.sheet.addin.Analysis.getDec2Hex(M19)</f>
        <v>3B</v>
      </c>
    </row>
    <row r="20" customFormat="false" ht="15" hidden="false" customHeight="false" outlineLevel="0" collapsed="false">
      <c r="A20" s="10" t="n">
        <f aca="false">A19+1</f>
        <v>18</v>
      </c>
      <c r="B20" s="11" t="str">
        <f aca="false">com.sun.star.sheet.addin.Analysis.getDec2Hex(2560+A20)</f>
        <v>A12</v>
      </c>
      <c r="C20" s="11" t="str">
        <f aca="false">8*A20&amp;"-"&amp;(8*A20+7)</f>
        <v>144-151</v>
      </c>
      <c r="D20" s="23" t="s">
        <v>122</v>
      </c>
      <c r="E20" s="50" t="s">
        <v>123</v>
      </c>
      <c r="F20" s="48" t="s">
        <v>124</v>
      </c>
      <c r="G20" s="50" t="s">
        <v>125</v>
      </c>
      <c r="H20" s="53" t="s">
        <v>126</v>
      </c>
      <c r="I20" s="48" t="s">
        <v>127</v>
      </c>
      <c r="J20" s="48" t="s">
        <v>128</v>
      </c>
      <c r="K20" s="50" t="s">
        <v>67</v>
      </c>
      <c r="M20" s="1" t="n">
        <v>60</v>
      </c>
      <c r="N20" s="1" t="str">
        <f aca="false">com.sun.star.sheet.addin.Analysis.getDec2Hex(M20)</f>
        <v>3C</v>
      </c>
    </row>
    <row r="21" customFormat="false" ht="15" hidden="false" customHeight="false" outlineLevel="0" collapsed="false">
      <c r="A21" s="10" t="n">
        <f aca="false">A20+1</f>
        <v>19</v>
      </c>
      <c r="B21" s="11" t="str">
        <f aca="false">com.sun.star.sheet.addin.Analysis.getDec2Hex(2560+A21)</f>
        <v>A13</v>
      </c>
      <c r="C21" s="11" t="str">
        <f aca="false">8*A21&amp;"-"&amp;(8*A21+7)</f>
        <v>152-159</v>
      </c>
      <c r="D21" s="50" t="s">
        <v>130</v>
      </c>
      <c r="E21" s="50" t="s">
        <v>131</v>
      </c>
      <c r="F21" s="48" t="s">
        <v>132</v>
      </c>
      <c r="G21" s="25"/>
      <c r="H21" s="47"/>
      <c r="I21" s="26"/>
      <c r="J21" s="33" t="s">
        <v>136</v>
      </c>
      <c r="K21" s="33" t="s">
        <v>137</v>
      </c>
      <c r="M21" s="1" t="n">
        <v>61</v>
      </c>
      <c r="N21" s="1" t="str">
        <f aca="false">com.sun.star.sheet.addin.Analysis.getDec2Hex(M21)</f>
        <v>3D</v>
      </c>
    </row>
    <row r="22" customFormat="false" ht="15" hidden="false" customHeight="false" outlineLevel="0" collapsed="false">
      <c r="A22" s="10" t="n">
        <f aca="false">A21+1</f>
        <v>20</v>
      </c>
      <c r="B22" s="11" t="str">
        <f aca="false">com.sun.star.sheet.addin.Analysis.getDec2Hex(2560+A22)</f>
        <v>A14</v>
      </c>
      <c r="C22" s="11" t="str">
        <f aca="false">8*A22&amp;"-"&amp;(8*A22+7)</f>
        <v>160-167</v>
      </c>
      <c r="D22" s="37"/>
      <c r="E22" s="27" t="s">
        <v>139</v>
      </c>
      <c r="F22" s="48" t="s">
        <v>140</v>
      </c>
      <c r="G22" s="50" t="s">
        <v>141</v>
      </c>
      <c r="H22" s="33" t="s">
        <v>142</v>
      </c>
      <c r="I22" s="33" t="s">
        <v>549</v>
      </c>
      <c r="J22" s="33" t="s">
        <v>144</v>
      </c>
      <c r="K22" s="33" t="s">
        <v>145</v>
      </c>
      <c r="M22" s="1" t="n">
        <v>62</v>
      </c>
      <c r="N22" s="1" t="str">
        <f aca="false">com.sun.star.sheet.addin.Analysis.getDec2Hex(M22)</f>
        <v>3E</v>
      </c>
    </row>
    <row r="23" customFormat="false" ht="15" hidden="false" customHeight="false" outlineLevel="0" collapsed="false">
      <c r="A23" s="10" t="n">
        <f aca="false">A22+1</f>
        <v>21</v>
      </c>
      <c r="B23" s="11" t="str">
        <f aca="false">com.sun.star.sheet.addin.Analysis.getDec2Hex(2560+A23)</f>
        <v>A15</v>
      </c>
      <c r="C23" s="11" t="str">
        <f aca="false">8*A23&amp;"-"&amp;(8*A23+7)</f>
        <v>168-175</v>
      </c>
      <c r="D23" s="50" t="s">
        <v>146</v>
      </c>
      <c r="E23" s="50" t="s">
        <v>147</v>
      </c>
      <c r="F23" s="50" t="s">
        <v>148</v>
      </c>
      <c r="G23" s="50" t="s">
        <v>149</v>
      </c>
      <c r="H23" s="28" t="s">
        <v>150</v>
      </c>
      <c r="I23" s="27" t="s">
        <v>151</v>
      </c>
      <c r="J23" s="48" t="s">
        <v>152</v>
      </c>
      <c r="K23" s="33" t="s">
        <v>153</v>
      </c>
      <c r="M23" s="1" t="n">
        <v>63</v>
      </c>
      <c r="N23" s="1" t="str">
        <f aca="false">com.sun.star.sheet.addin.Analysis.getDec2Hex(M23)</f>
        <v>3F</v>
      </c>
    </row>
    <row r="24" customFormat="false" ht="15" hidden="false" customHeight="false" outlineLevel="0" collapsed="false">
      <c r="A24" s="10" t="n">
        <f aca="false">A23+1</f>
        <v>22</v>
      </c>
      <c r="B24" s="11" t="str">
        <f aca="false">com.sun.star.sheet.addin.Analysis.getDec2Hex(2560+A24)</f>
        <v>A16</v>
      </c>
      <c r="C24" s="11" t="str">
        <f aca="false">8*A24&amp;"-"&amp;(8*A24+7)</f>
        <v>176-183</v>
      </c>
      <c r="D24" s="50" t="s">
        <v>154</v>
      </c>
      <c r="E24" s="50" t="s">
        <v>155</v>
      </c>
      <c r="F24" s="79" t="s">
        <v>544</v>
      </c>
      <c r="G24" s="50" t="s">
        <v>550</v>
      </c>
      <c r="H24" s="53" t="s">
        <v>158</v>
      </c>
      <c r="I24" s="48" t="s">
        <v>159</v>
      </c>
      <c r="J24" s="48" t="s">
        <v>160</v>
      </c>
      <c r="K24" s="50" t="s">
        <v>161</v>
      </c>
      <c r="M24" s="1" t="n">
        <v>65</v>
      </c>
      <c r="N24" s="1" t="str">
        <f aca="false">com.sun.star.sheet.addin.Analysis.getDec2Hex(M24)</f>
        <v>41</v>
      </c>
    </row>
    <row r="25" customFormat="false" ht="15" hidden="false" customHeight="false" outlineLevel="0" collapsed="false">
      <c r="A25" s="10" t="n">
        <f aca="false">A24+1</f>
        <v>23</v>
      </c>
      <c r="B25" s="11" t="str">
        <f aca="false">com.sun.star.sheet.addin.Analysis.getDec2Hex(2560+A25)</f>
        <v>A17</v>
      </c>
      <c r="C25" s="11" t="str">
        <f aca="false">8*A25&amp;"-"&amp;(8*A25+7)</f>
        <v>184-191</v>
      </c>
      <c r="D25" s="27" t="s">
        <v>163</v>
      </c>
      <c r="E25" s="27" t="s">
        <v>164</v>
      </c>
      <c r="F25" s="33" t="s">
        <v>551</v>
      </c>
      <c r="G25" s="25"/>
      <c r="H25" s="47"/>
      <c r="I25" s="33" t="s">
        <v>168</v>
      </c>
      <c r="J25" s="33" t="s">
        <v>169</v>
      </c>
      <c r="K25" s="33" t="s">
        <v>170</v>
      </c>
      <c r="M25" s="1" t="n">
        <v>73</v>
      </c>
      <c r="N25" s="1" t="str">
        <f aca="false">com.sun.star.sheet.addin.Analysis.getDec2Hex(M25)</f>
        <v>49</v>
      </c>
    </row>
    <row r="26" customFormat="false" ht="15" hidden="false" customHeight="false" outlineLevel="0" collapsed="false">
      <c r="A26" s="10" t="n">
        <f aca="false">A25+1</f>
        <v>24</v>
      </c>
      <c r="B26" s="11" t="str">
        <f aca="false">com.sun.star.sheet.addin.Analysis.getDec2Hex(2560+A26)</f>
        <v>A18</v>
      </c>
      <c r="C26" s="11" t="str">
        <f aca="false">8*A26&amp;"-"&amp;(8*A26+7)</f>
        <v>192-199</v>
      </c>
      <c r="D26" s="37"/>
      <c r="E26" s="26"/>
      <c r="F26" s="26"/>
      <c r="G26" s="25"/>
      <c r="H26" s="47"/>
      <c r="I26" s="26"/>
      <c r="J26" s="27" t="s">
        <v>177</v>
      </c>
      <c r="K26" s="27" t="s">
        <v>178</v>
      </c>
      <c r="M26" s="1" t="n">
        <v>74</v>
      </c>
      <c r="N26" s="1" t="str">
        <f aca="false">com.sun.star.sheet.addin.Analysis.getDec2Hex(M26)</f>
        <v>4A</v>
      </c>
    </row>
    <row r="27" customFormat="false" ht="15" hidden="false" customHeight="false" outlineLevel="0" collapsed="false">
      <c r="A27" s="10" t="n">
        <f aca="false">A26+1</f>
        <v>25</v>
      </c>
      <c r="B27" s="11" t="str">
        <f aca="false">com.sun.star.sheet.addin.Analysis.getDec2Hex(2560+A27)</f>
        <v>A19</v>
      </c>
      <c r="C27" s="11" t="str">
        <f aca="false">8*A27&amp;"-"&amp;(8*A27+7)</f>
        <v>200-207</v>
      </c>
      <c r="D27" s="37"/>
      <c r="E27" s="50" t="s">
        <v>180</v>
      </c>
      <c r="F27" s="26"/>
      <c r="G27" s="25"/>
      <c r="H27" s="47"/>
      <c r="I27" s="26"/>
      <c r="J27" s="26"/>
      <c r="K27" s="25"/>
      <c r="M27" s="1" t="n">
        <v>75</v>
      </c>
      <c r="N27" s="1" t="str">
        <f aca="false">com.sun.star.sheet.addin.Analysis.getDec2Hex(M27)</f>
        <v>4B</v>
      </c>
    </row>
    <row r="28" customFormat="false" ht="15" hidden="false" customHeight="false" outlineLevel="0" collapsed="false">
      <c r="A28" s="10" t="n">
        <f aca="false">A27+1</f>
        <v>26</v>
      </c>
      <c r="B28" s="11" t="str">
        <f aca="false">com.sun.star.sheet.addin.Analysis.getDec2Hex(2560+A28)</f>
        <v>A1A</v>
      </c>
      <c r="C28" s="11" t="str">
        <f aca="false">8*A28&amp;"-"&amp;(8*A28+7)</f>
        <v>208-215</v>
      </c>
      <c r="D28" s="22" t="s">
        <v>186</v>
      </c>
      <c r="E28" s="50" t="s">
        <v>187</v>
      </c>
      <c r="F28" s="26"/>
      <c r="G28" s="26"/>
      <c r="H28" s="47"/>
      <c r="I28" s="26"/>
      <c r="J28" s="33" t="s">
        <v>192</v>
      </c>
      <c r="K28" s="50" t="s">
        <v>193</v>
      </c>
      <c r="M28" s="1" t="n">
        <v>77</v>
      </c>
      <c r="N28" s="1" t="str">
        <f aca="false">com.sun.star.sheet.addin.Analysis.getDec2Hex(M28)</f>
        <v>4D</v>
      </c>
    </row>
    <row r="29" customFormat="false" ht="15" hidden="false" customHeight="false" outlineLevel="0" collapsed="false">
      <c r="A29" s="10" t="n">
        <f aca="false">A28+1</f>
        <v>27</v>
      </c>
      <c r="B29" s="11" t="str">
        <f aca="false">com.sun.star.sheet.addin.Analysis.getDec2Hex(2560+A29)</f>
        <v>A1B</v>
      </c>
      <c r="C29" s="11" t="str">
        <f aca="false">8*A29&amp;"-"&amp;(8*A29+7)</f>
        <v>216-223</v>
      </c>
      <c r="D29" s="35" t="s">
        <v>194</v>
      </c>
      <c r="E29" s="50" t="s">
        <v>195</v>
      </c>
      <c r="F29" s="26"/>
      <c r="G29" s="50" t="s">
        <v>552</v>
      </c>
      <c r="H29" s="47"/>
      <c r="I29" s="26"/>
      <c r="J29" s="33" t="s">
        <v>200</v>
      </c>
      <c r="K29" s="33" t="s">
        <v>201</v>
      </c>
      <c r="L29" s="4" t="s">
        <v>553</v>
      </c>
      <c r="M29" s="1" t="n">
        <v>78</v>
      </c>
      <c r="N29" s="1" t="str">
        <f aca="false">com.sun.star.sheet.addin.Analysis.getDec2Hex(M29)</f>
        <v>4E</v>
      </c>
    </row>
    <row r="30" customFormat="false" ht="15" hidden="false" customHeight="false" outlineLevel="0" collapsed="false">
      <c r="A30" s="10" t="n">
        <f aca="false">A29+1</f>
        <v>28</v>
      </c>
      <c r="B30" s="11" t="str">
        <f aca="false">com.sun.star.sheet.addin.Analysis.getDec2Hex(2560+A30)</f>
        <v>A1C</v>
      </c>
      <c r="C30" s="11" t="str">
        <f aca="false">8*A30&amp;"-"&amp;(8*A30+7)</f>
        <v>224-231</v>
      </c>
      <c r="D30" s="37"/>
      <c r="E30" s="27" t="s">
        <v>203</v>
      </c>
      <c r="F30" s="27" t="s">
        <v>204</v>
      </c>
      <c r="G30" s="50" t="s">
        <v>205</v>
      </c>
      <c r="H30" s="53" t="s">
        <v>206</v>
      </c>
      <c r="I30" s="27" t="s">
        <v>207</v>
      </c>
      <c r="J30" s="33" t="s">
        <v>208</v>
      </c>
      <c r="K30" s="33" t="s">
        <v>209</v>
      </c>
      <c r="M30" s="1" t="n">
        <v>79</v>
      </c>
      <c r="N30" s="1" t="str">
        <f aca="false">com.sun.star.sheet.addin.Analysis.getDec2Hex(M30)</f>
        <v>4F</v>
      </c>
    </row>
    <row r="31" customFormat="false" ht="15" hidden="false" customHeight="false" outlineLevel="0" collapsed="false">
      <c r="A31" s="10" t="n">
        <f aca="false">A30+1</f>
        <v>29</v>
      </c>
      <c r="B31" s="11" t="str">
        <f aca="false">com.sun.star.sheet.addin.Analysis.getDec2Hex(2560+A31)</f>
        <v>A1D</v>
      </c>
      <c r="C31" s="11" t="str">
        <f aca="false">8*A31&amp;"-"&amp;(8*A31+7)</f>
        <v>232-239</v>
      </c>
      <c r="D31" s="37"/>
      <c r="E31" s="27" t="s">
        <v>211</v>
      </c>
      <c r="F31" s="27" t="s">
        <v>212</v>
      </c>
      <c r="G31" s="33" t="s">
        <v>213</v>
      </c>
      <c r="H31" s="28" t="s">
        <v>214</v>
      </c>
      <c r="I31" s="27" t="s">
        <v>215</v>
      </c>
      <c r="J31" s="27" t="s">
        <v>216</v>
      </c>
      <c r="K31" s="33" t="s">
        <v>217</v>
      </c>
      <c r="M31" s="1" t="n">
        <v>86</v>
      </c>
      <c r="N31" s="1" t="str">
        <f aca="false">com.sun.star.sheet.addin.Analysis.getDec2Hex(M31)</f>
        <v>56</v>
      </c>
    </row>
    <row r="32" customFormat="false" ht="15" hidden="false" customHeight="false" outlineLevel="0" collapsed="false">
      <c r="A32" s="10" t="n">
        <f aca="false">A31+1</f>
        <v>30</v>
      </c>
      <c r="B32" s="11" t="str">
        <f aca="false">com.sun.star.sheet.addin.Analysis.getDec2Hex(2560+A32)</f>
        <v>A1E</v>
      </c>
      <c r="C32" s="11" t="str">
        <f aca="false">8*A32&amp;"-"&amp;(8*A32+7)</f>
        <v>240-247</v>
      </c>
      <c r="D32" s="37"/>
      <c r="E32" s="48" t="s">
        <v>554</v>
      </c>
      <c r="F32" s="26"/>
      <c r="G32" s="25"/>
      <c r="H32" s="47"/>
      <c r="I32" s="26"/>
      <c r="J32" s="33" t="s">
        <v>224</v>
      </c>
      <c r="K32" s="33" t="s">
        <v>225</v>
      </c>
      <c r="L32" s="4" t="s">
        <v>533</v>
      </c>
      <c r="M32" s="1" t="n">
        <v>87</v>
      </c>
      <c r="N32" s="1" t="str">
        <f aca="false">com.sun.star.sheet.addin.Analysis.getDec2Hex(M32)</f>
        <v>57</v>
      </c>
    </row>
    <row r="33" s="62" customFormat="true" ht="15" hidden="false" customHeight="false" outlineLevel="0" collapsed="false">
      <c r="A33" s="54" t="n">
        <f aca="false">A32+1</f>
        <v>31</v>
      </c>
      <c r="B33" s="55" t="str">
        <f aca="false">com.sun.star.sheet.addin.Analysis.getDec2Hex(2560+A33)</f>
        <v>A1F</v>
      </c>
      <c r="C33" s="147" t="str">
        <f aca="false">8*A33&amp;"-"&amp;(8*A33+7)</f>
        <v>248-255</v>
      </c>
      <c r="D33" s="150"/>
      <c r="E33" s="90" t="s">
        <v>555</v>
      </c>
      <c r="F33" s="58" t="s">
        <v>227</v>
      </c>
      <c r="G33" s="33" t="s">
        <v>228</v>
      </c>
      <c r="H33" s="91" t="s">
        <v>229</v>
      </c>
      <c r="I33" s="58" t="s">
        <v>230</v>
      </c>
      <c r="J33" s="58" t="s">
        <v>231</v>
      </c>
      <c r="K33" s="58" t="s">
        <v>232</v>
      </c>
      <c r="L33" s="148"/>
      <c r="M33" s="149" t="n">
        <v>88</v>
      </c>
      <c r="N33" s="149" t="str">
        <f aca="false">com.sun.star.sheet.addin.Analysis.getDec2Hex(M33)</f>
        <v>58</v>
      </c>
    </row>
    <row r="34" customFormat="false" ht="15" hidden="false" customHeight="false" outlineLevel="0" collapsed="false">
      <c r="A34" s="63" t="n">
        <f aca="false">A33+1</f>
        <v>32</v>
      </c>
      <c r="B34" s="64" t="str">
        <f aca="false">com.sun.star.sheet.addin.Analysis.getDec2Hex(2560+A34)</f>
        <v>A20</v>
      </c>
      <c r="C34" s="64"/>
      <c r="D34" s="93"/>
      <c r="E34" s="93" t="s">
        <v>234</v>
      </c>
      <c r="F34" s="93" t="s">
        <v>235</v>
      </c>
      <c r="G34" s="94" t="s">
        <v>236</v>
      </c>
      <c r="H34" s="93" t="s">
        <v>237</v>
      </c>
      <c r="I34" s="93" t="s">
        <v>238</v>
      </c>
      <c r="J34" s="93" t="s">
        <v>239</v>
      </c>
      <c r="K34" s="95"/>
      <c r="M34" s="1" t="n">
        <v>89</v>
      </c>
      <c r="N34" s="1" t="str">
        <f aca="false">com.sun.star.sheet.addin.Analysis.getDec2Hex(M34)</f>
        <v>59</v>
      </c>
    </row>
    <row r="35" customFormat="false" ht="15" hidden="false" customHeight="false" outlineLevel="0" collapsed="false">
      <c r="A35" s="10" t="n">
        <f aca="false">A34+1</f>
        <v>33</v>
      </c>
      <c r="B35" s="11" t="str">
        <f aca="false">com.sun.star.sheet.addin.Analysis.getDec2Hex(2560+A35)</f>
        <v>A21</v>
      </c>
      <c r="C35" s="11"/>
      <c r="D35" s="97" t="s">
        <v>240</v>
      </c>
      <c r="E35" s="10" t="s">
        <v>241</v>
      </c>
      <c r="F35" s="97" t="s">
        <v>242</v>
      </c>
      <c r="G35" s="99" t="s">
        <v>243</v>
      </c>
      <c r="H35" s="96" t="s">
        <v>244</v>
      </c>
      <c r="I35" s="10" t="s">
        <v>245</v>
      </c>
      <c r="J35" s="10"/>
      <c r="K35" s="99" t="s">
        <v>246</v>
      </c>
      <c r="M35" s="1" t="n">
        <v>90</v>
      </c>
      <c r="N35" s="1" t="str">
        <f aca="false">com.sun.star.sheet.addin.Analysis.getDec2Hex(M35)</f>
        <v>5A</v>
      </c>
    </row>
    <row r="36" customFormat="false" ht="15" hidden="false" customHeight="false" outlineLevel="0" collapsed="false">
      <c r="A36" s="10" t="n">
        <f aca="false">A35+1</f>
        <v>34</v>
      </c>
      <c r="B36" s="11" t="str">
        <f aca="false">com.sun.star.sheet.addin.Analysis.getDec2Hex(2560+A36)</f>
        <v>A22</v>
      </c>
      <c r="C36" s="11"/>
      <c r="D36" s="97" t="s">
        <v>247</v>
      </c>
      <c r="E36" s="10" t="s">
        <v>248</v>
      </c>
      <c r="F36" s="10" t="s">
        <v>249</v>
      </c>
      <c r="G36" s="99" t="s">
        <v>250</v>
      </c>
      <c r="H36" s="96" t="s">
        <v>251</v>
      </c>
      <c r="I36" s="10" t="s">
        <v>252</v>
      </c>
      <c r="J36" s="10"/>
      <c r="K36" s="99" t="s">
        <v>253</v>
      </c>
      <c r="M36" s="1" t="n">
        <v>100</v>
      </c>
      <c r="N36" s="1" t="str">
        <f aca="false">com.sun.star.sheet.addin.Analysis.getDec2Hex(M36)</f>
        <v>64</v>
      </c>
    </row>
    <row r="37" customFormat="false" ht="15" hidden="false" customHeight="false" outlineLevel="0" collapsed="false">
      <c r="A37" s="10" t="n">
        <f aca="false">A36+1</f>
        <v>35</v>
      </c>
      <c r="B37" s="11" t="str">
        <f aca="false">com.sun.star.sheet.addin.Analysis.getDec2Hex(2560+A37)</f>
        <v>A23</v>
      </c>
      <c r="C37" s="11"/>
      <c r="D37" s="97" t="s">
        <v>254</v>
      </c>
      <c r="E37" s="10"/>
      <c r="F37" s="27" t="s">
        <v>255</v>
      </c>
      <c r="G37" s="99" t="s">
        <v>256</v>
      </c>
      <c r="H37" s="28" t="s">
        <v>257</v>
      </c>
      <c r="I37" s="10" t="s">
        <v>258</v>
      </c>
      <c r="J37" s="10" t="s">
        <v>259</v>
      </c>
      <c r="K37" s="97" t="s">
        <v>260</v>
      </c>
      <c r="M37" s="1" t="n">
        <v>101</v>
      </c>
      <c r="N37" s="1" t="str">
        <f aca="false">com.sun.star.sheet.addin.Analysis.getDec2Hex(M37)</f>
        <v>65</v>
      </c>
    </row>
    <row r="38" customFormat="false" ht="15" hidden="false" customHeight="false" outlineLevel="0" collapsed="false">
      <c r="A38" s="10" t="n">
        <f aca="false">A37+1</f>
        <v>36</v>
      </c>
      <c r="B38" s="11" t="str">
        <f aca="false">com.sun.star.sheet.addin.Analysis.getDec2Hex(2560+A38)</f>
        <v>A24</v>
      </c>
      <c r="C38" s="11"/>
      <c r="D38" s="97"/>
      <c r="E38" s="10" t="s">
        <v>261</v>
      </c>
      <c r="F38" s="10" t="s">
        <v>261</v>
      </c>
      <c r="G38" s="99" t="s">
        <v>262</v>
      </c>
      <c r="H38" s="96" t="s">
        <v>263</v>
      </c>
      <c r="I38" s="10" t="s">
        <v>264</v>
      </c>
      <c r="J38" s="10" t="s">
        <v>265</v>
      </c>
      <c r="K38" s="99"/>
      <c r="M38" s="1" t="n">
        <v>102</v>
      </c>
      <c r="N38" s="1" t="str">
        <f aca="false">com.sun.star.sheet.addin.Analysis.getDec2Hex(M38)</f>
        <v>66</v>
      </c>
    </row>
    <row r="39" customFormat="false" ht="15" hidden="false" customHeight="false" outlineLevel="0" collapsed="false">
      <c r="A39" s="10" t="n">
        <f aca="false">A38+1</f>
        <v>37</v>
      </c>
      <c r="B39" s="11" t="str">
        <f aca="false">com.sun.star.sheet.addin.Analysis.getDec2Hex(2560+A39)</f>
        <v>A25</v>
      </c>
      <c r="C39" s="11"/>
      <c r="D39" s="97" t="s">
        <v>266</v>
      </c>
      <c r="E39" s="10" t="s">
        <v>267</v>
      </c>
      <c r="F39" s="10" t="s">
        <v>267</v>
      </c>
      <c r="G39" s="99" t="s">
        <v>268</v>
      </c>
      <c r="H39" s="96" t="s">
        <v>269</v>
      </c>
      <c r="I39" s="10"/>
      <c r="J39" s="10"/>
      <c r="K39" s="99" t="s">
        <v>266</v>
      </c>
      <c r="M39" s="1" t="n">
        <v>103</v>
      </c>
      <c r="N39" s="1" t="str">
        <f aca="false">com.sun.star.sheet.addin.Analysis.getDec2Hex(M39)</f>
        <v>67</v>
      </c>
    </row>
    <row r="40" customFormat="false" ht="15" hidden="false" customHeight="false" outlineLevel="0" collapsed="false">
      <c r="A40" s="10" t="n">
        <f aca="false">A39+1</f>
        <v>38</v>
      </c>
      <c r="B40" s="11" t="str">
        <f aca="false">com.sun.star.sheet.addin.Analysis.getDec2Hex(2560+A40)</f>
        <v>A26</v>
      </c>
      <c r="C40" s="11"/>
      <c r="D40" s="97" t="s">
        <v>270</v>
      </c>
      <c r="E40" s="10" t="s">
        <v>271</v>
      </c>
      <c r="F40" s="10" t="s">
        <v>272</v>
      </c>
      <c r="G40" s="10" t="s">
        <v>273</v>
      </c>
      <c r="H40" s="96" t="s">
        <v>274</v>
      </c>
      <c r="I40" s="10" t="s">
        <v>275</v>
      </c>
      <c r="J40" s="10" t="s">
        <v>276</v>
      </c>
      <c r="K40" s="99" t="s">
        <v>277</v>
      </c>
    </row>
    <row r="41" customFormat="false" ht="15" hidden="false" customHeight="false" outlineLevel="0" collapsed="false">
      <c r="A41" s="10" t="n">
        <f aca="false">A40+1</f>
        <v>39</v>
      </c>
      <c r="B41" s="11" t="str">
        <f aca="false">com.sun.star.sheet.addin.Analysis.getDec2Hex(2560+A41)</f>
        <v>A27</v>
      </c>
      <c r="C41" s="11"/>
      <c r="D41" s="10" t="s">
        <v>278</v>
      </c>
      <c r="E41" s="10" t="s">
        <v>279</v>
      </c>
      <c r="F41" s="10" t="s">
        <v>280</v>
      </c>
      <c r="G41" s="99"/>
      <c r="H41" s="28" t="s">
        <v>281</v>
      </c>
      <c r="I41" s="10" t="s">
        <v>282</v>
      </c>
      <c r="J41" s="10" t="s">
        <v>283</v>
      </c>
      <c r="K41" s="99" t="s">
        <v>284</v>
      </c>
    </row>
    <row r="42" customFormat="false" ht="15" hidden="false" customHeight="false" outlineLevel="0" collapsed="false">
      <c r="A42" s="10" t="n">
        <f aca="false">A41+1</f>
        <v>40</v>
      </c>
      <c r="B42" s="11" t="str">
        <f aca="false">com.sun.star.sheet.addin.Analysis.getDec2Hex(2560+A42)</f>
        <v>A28</v>
      </c>
      <c r="C42" s="11"/>
      <c r="D42" s="97" t="s">
        <v>285</v>
      </c>
      <c r="E42" s="10" t="s">
        <v>286</v>
      </c>
      <c r="F42" s="10"/>
      <c r="G42" s="99" t="s">
        <v>287</v>
      </c>
      <c r="H42" s="96" t="s">
        <v>288</v>
      </c>
      <c r="I42" s="10" t="s">
        <v>289</v>
      </c>
      <c r="J42" s="10" t="s">
        <v>290</v>
      </c>
      <c r="K42" s="99" t="s">
        <v>291</v>
      </c>
    </row>
    <row r="43" customFormat="false" ht="15" hidden="false" customHeight="false" outlineLevel="0" collapsed="false">
      <c r="A43" s="10" t="n">
        <f aca="false">A42+1</f>
        <v>41</v>
      </c>
      <c r="B43" s="11" t="str">
        <f aca="false">com.sun.star.sheet.addin.Analysis.getDec2Hex(2560+A43)</f>
        <v>A29</v>
      </c>
      <c r="C43" s="11"/>
      <c r="D43" s="97" t="s">
        <v>292</v>
      </c>
      <c r="E43" s="10" t="s">
        <v>293</v>
      </c>
      <c r="F43" s="10" t="s">
        <v>294</v>
      </c>
      <c r="G43" s="11" t="s">
        <v>295</v>
      </c>
      <c r="H43" s="97" t="s">
        <v>296</v>
      </c>
      <c r="I43" s="10" t="s">
        <v>297</v>
      </c>
      <c r="J43" s="10" t="s">
        <v>298</v>
      </c>
      <c r="K43" s="99"/>
    </row>
    <row r="44" customFormat="false" ht="15" hidden="false" customHeight="false" outlineLevel="0" collapsed="false">
      <c r="A44" s="10" t="n">
        <f aca="false">A43+1</f>
        <v>42</v>
      </c>
      <c r="B44" s="11" t="str">
        <f aca="false">com.sun.star.sheet.addin.Analysis.getDec2Hex(2560+A44)</f>
        <v>A2A</v>
      </c>
      <c r="C44" s="11"/>
      <c r="D44" s="97"/>
      <c r="E44" s="10"/>
      <c r="F44" s="10"/>
      <c r="G44" s="99"/>
      <c r="H44" s="96" t="s">
        <v>299</v>
      </c>
      <c r="I44" s="10" t="s">
        <v>300</v>
      </c>
      <c r="J44" s="10" t="s">
        <v>301</v>
      </c>
      <c r="K44" s="99" t="s">
        <v>302</v>
      </c>
    </row>
    <row r="45" customFormat="false" ht="15" hidden="false" customHeight="false" outlineLevel="0" collapsed="false">
      <c r="A45" s="10" t="n">
        <f aca="false">A44+1</f>
        <v>43</v>
      </c>
      <c r="B45" s="11" t="str">
        <f aca="false">com.sun.star.sheet.addin.Analysis.getDec2Hex(2560+A45)</f>
        <v>A2B</v>
      </c>
      <c r="C45" s="11"/>
      <c r="D45" s="97" t="s">
        <v>303</v>
      </c>
      <c r="E45" s="10"/>
      <c r="F45" s="10"/>
      <c r="G45" s="99"/>
      <c r="H45" s="96"/>
      <c r="I45" s="10"/>
      <c r="J45" s="10" t="s">
        <v>304</v>
      </c>
      <c r="K45" s="99"/>
    </row>
    <row r="46" customFormat="false" ht="15" hidden="false" customHeight="false" outlineLevel="0" collapsed="false">
      <c r="A46" s="10" t="n">
        <f aca="false">A45+1</f>
        <v>44</v>
      </c>
      <c r="B46" s="11" t="str">
        <f aca="false">com.sun.star.sheet.addin.Analysis.getDec2Hex(2560+A46)</f>
        <v>A2C</v>
      </c>
      <c r="C46" s="11"/>
      <c r="D46" s="97" t="s">
        <v>305</v>
      </c>
      <c r="E46" s="10"/>
      <c r="F46" s="10"/>
      <c r="G46" s="99"/>
      <c r="H46" s="96"/>
      <c r="I46" s="10"/>
      <c r="J46" s="10"/>
      <c r="K46" s="99"/>
    </row>
    <row r="47" customFormat="false" ht="15" hidden="false" customHeight="false" outlineLevel="0" collapsed="false">
      <c r="A47" s="10" t="n">
        <f aca="false">A46+1</f>
        <v>45</v>
      </c>
      <c r="B47" s="11" t="str">
        <f aca="false">com.sun.star.sheet.addin.Analysis.getDec2Hex(2560+A47)</f>
        <v>A2D</v>
      </c>
      <c r="C47" s="11"/>
      <c r="D47" s="97" t="s">
        <v>306</v>
      </c>
      <c r="E47" s="10" t="s">
        <v>307</v>
      </c>
      <c r="F47" s="99" t="s">
        <v>308</v>
      </c>
      <c r="G47" s="99" t="s">
        <v>309</v>
      </c>
      <c r="H47" s="96" t="s">
        <v>310</v>
      </c>
      <c r="I47" s="10" t="s">
        <v>311</v>
      </c>
      <c r="J47" s="10"/>
      <c r="K47" s="99" t="s">
        <v>312</v>
      </c>
    </row>
    <row r="48" customFormat="false" ht="15" hidden="false" customHeight="false" outlineLevel="0" collapsed="false">
      <c r="A48" s="10" t="n">
        <f aca="false">A47+1</f>
        <v>46</v>
      </c>
      <c r="B48" s="11" t="str">
        <f aca="false">com.sun.star.sheet.addin.Analysis.getDec2Hex(2560+A48)</f>
        <v>A2E</v>
      </c>
      <c r="C48" s="11"/>
      <c r="D48" s="97"/>
      <c r="E48" s="10"/>
      <c r="F48" s="10"/>
      <c r="G48" s="99" t="s">
        <v>556</v>
      </c>
      <c r="H48" s="96"/>
      <c r="I48" s="10"/>
      <c r="J48" s="10"/>
      <c r="K48" s="99"/>
    </row>
    <row r="49" s="62" customFormat="true" ht="15" hidden="false" customHeight="false" outlineLevel="0" collapsed="false">
      <c r="A49" s="54" t="n">
        <f aca="false">A48+1</f>
        <v>47</v>
      </c>
      <c r="B49" s="55" t="str">
        <f aca="false">com.sun.star.sheet.addin.Analysis.getDec2Hex(2560+A49)</f>
        <v>A2F</v>
      </c>
      <c r="C49" s="55"/>
      <c r="D49" s="151"/>
      <c r="E49" s="54"/>
      <c r="F49" s="54"/>
      <c r="G49" s="103"/>
      <c r="H49" s="102" t="s">
        <v>318</v>
      </c>
      <c r="I49" s="54" t="s">
        <v>544</v>
      </c>
      <c r="J49" s="54"/>
      <c r="K49" s="103"/>
      <c r="L49" s="148"/>
      <c r="M49" s="149"/>
      <c r="N49" s="149"/>
    </row>
    <row r="50" customFormat="false" ht="15" hidden="false" customHeight="false" outlineLevel="0" collapsed="false">
      <c r="A50" s="63" t="n">
        <f aca="false">A49+1</f>
        <v>48</v>
      </c>
      <c r="B50" s="64" t="str">
        <f aca="false">com.sun.star.sheet.addin.Analysis.getDec2Hex(2560+A50)</f>
        <v>A30</v>
      </c>
      <c r="C50" s="64"/>
      <c r="D50" s="93"/>
      <c r="E50" s="63"/>
      <c r="F50" s="63" t="s">
        <v>557</v>
      </c>
      <c r="G50" s="95"/>
      <c r="H50" s="92"/>
      <c r="I50" s="63"/>
      <c r="J50" s="63"/>
      <c r="K50" s="95"/>
    </row>
    <row r="51" customFormat="false" ht="15" hidden="false" customHeight="false" outlineLevel="0" collapsed="false">
      <c r="A51" s="10" t="n">
        <f aca="false">A50+1</f>
        <v>49</v>
      </c>
      <c r="B51" s="11" t="str">
        <f aca="false">com.sun.star.sheet.addin.Analysis.getDec2Hex(2560+A51)</f>
        <v>A31</v>
      </c>
      <c r="C51" s="11"/>
      <c r="D51" s="97"/>
      <c r="E51" s="10"/>
      <c r="F51" s="10"/>
      <c r="G51" s="99"/>
      <c r="H51" s="96"/>
      <c r="I51" s="10"/>
      <c r="J51" s="10"/>
      <c r="K51" s="99"/>
    </row>
    <row r="52" customFormat="false" ht="15" hidden="false" customHeight="false" outlineLevel="0" collapsed="false">
      <c r="A52" s="10" t="n">
        <f aca="false">A51+1</f>
        <v>50</v>
      </c>
      <c r="B52" s="11" t="str">
        <f aca="false">com.sun.star.sheet.addin.Analysis.getDec2Hex(2560+A52)</f>
        <v>A32</v>
      </c>
      <c r="C52" s="11"/>
      <c r="D52" s="97"/>
      <c r="E52" s="10"/>
      <c r="F52" s="10"/>
      <c r="G52" s="99"/>
      <c r="H52" s="96"/>
      <c r="I52" s="10"/>
      <c r="J52" s="10"/>
      <c r="K52" s="99"/>
    </row>
    <row r="53" customFormat="false" ht="15" hidden="false" customHeight="false" outlineLevel="0" collapsed="false">
      <c r="A53" s="10" t="n">
        <f aca="false">A52+1</f>
        <v>51</v>
      </c>
      <c r="B53" s="11" t="str">
        <f aca="false">com.sun.star.sheet.addin.Analysis.getDec2Hex(2560+A53)</f>
        <v>A33</v>
      </c>
      <c r="C53" s="11"/>
      <c r="D53" s="97"/>
      <c r="E53" s="10"/>
      <c r="F53" s="10"/>
      <c r="G53" s="99"/>
      <c r="H53" s="96"/>
      <c r="I53" s="10"/>
      <c r="J53" s="10"/>
      <c r="K53" s="99"/>
    </row>
    <row r="54" customFormat="false" ht="15" hidden="false" customHeight="false" outlineLevel="0" collapsed="false">
      <c r="A54" s="10" t="n">
        <f aca="false">A53+1</f>
        <v>52</v>
      </c>
      <c r="B54" s="11" t="str">
        <f aca="false">com.sun.star.sheet.addin.Analysis.getDec2Hex(2560+A54)</f>
        <v>A34</v>
      </c>
      <c r="C54" s="11"/>
      <c r="D54" s="97"/>
      <c r="E54" s="10"/>
      <c r="F54" s="10"/>
      <c r="G54" s="99"/>
      <c r="H54" s="96"/>
      <c r="I54" s="10"/>
      <c r="J54" s="10"/>
      <c r="K54" s="99"/>
    </row>
    <row r="55" customFormat="false" ht="15" hidden="false" customHeight="false" outlineLevel="0" collapsed="false">
      <c r="A55" s="10" t="n">
        <f aca="false">A54+1</f>
        <v>53</v>
      </c>
      <c r="B55" s="11" t="str">
        <f aca="false">com.sun.star.sheet.addin.Analysis.getDec2Hex(2560+A55)</f>
        <v>A35</v>
      </c>
      <c r="C55" s="11"/>
      <c r="D55" s="97"/>
      <c r="E55" s="10"/>
      <c r="F55" s="10"/>
      <c r="G55" s="99"/>
      <c r="H55" s="96"/>
      <c r="I55" s="10"/>
      <c r="J55" s="10"/>
      <c r="K55" s="99"/>
    </row>
    <row r="56" customFormat="false" ht="15" hidden="false" customHeight="false" outlineLevel="0" collapsed="false">
      <c r="A56" s="10" t="n">
        <f aca="false">A55+1</f>
        <v>54</v>
      </c>
      <c r="B56" s="11" t="str">
        <f aca="false">com.sun.star.sheet.addin.Analysis.getDec2Hex(2560+A56)</f>
        <v>A36</v>
      </c>
      <c r="C56" s="11"/>
      <c r="D56" s="97"/>
      <c r="E56" s="10"/>
      <c r="F56" s="10"/>
      <c r="G56" s="99"/>
      <c r="H56" s="96"/>
      <c r="I56" s="10"/>
      <c r="J56" s="10"/>
      <c r="K56" s="99"/>
    </row>
    <row r="57" customFormat="false" ht="15" hidden="false" customHeight="false" outlineLevel="0" collapsed="false">
      <c r="A57" s="10" t="n">
        <f aca="false">A56+1</f>
        <v>55</v>
      </c>
      <c r="B57" s="11" t="str">
        <f aca="false">com.sun.star.sheet.addin.Analysis.getDec2Hex(2560+A57)</f>
        <v>A37</v>
      </c>
      <c r="C57" s="11"/>
      <c r="D57" s="97"/>
      <c r="E57" s="10"/>
      <c r="F57" s="10"/>
      <c r="G57" s="99"/>
      <c r="H57" s="96"/>
      <c r="I57" s="10"/>
      <c r="J57" s="10"/>
      <c r="K57" s="99"/>
    </row>
    <row r="58" customFormat="false" ht="15" hidden="false" customHeight="false" outlineLevel="0" collapsed="false">
      <c r="A58" s="10" t="n">
        <f aca="false">A57+1</f>
        <v>56</v>
      </c>
      <c r="B58" s="11" t="str">
        <f aca="false">com.sun.star.sheet.addin.Analysis.getDec2Hex(2560+A58)</f>
        <v>A38</v>
      </c>
      <c r="C58" s="11"/>
      <c r="D58" s="97"/>
      <c r="E58" s="10"/>
      <c r="F58" s="10"/>
      <c r="G58" s="99"/>
      <c r="H58" s="96"/>
      <c r="I58" s="10"/>
      <c r="J58" s="10"/>
      <c r="K58" s="99"/>
    </row>
    <row r="59" customFormat="false" ht="15" hidden="false" customHeight="false" outlineLevel="0" collapsed="false">
      <c r="A59" s="10" t="n">
        <f aca="false">A58+1</f>
        <v>57</v>
      </c>
      <c r="B59" s="11" t="str">
        <f aca="false">com.sun.star.sheet.addin.Analysis.getDec2Hex(2560+A59)</f>
        <v>A39</v>
      </c>
      <c r="C59" s="11"/>
      <c r="D59" s="97"/>
      <c r="E59" s="10"/>
      <c r="F59" s="10"/>
      <c r="G59" s="99"/>
      <c r="H59" s="96"/>
      <c r="I59" s="10"/>
      <c r="J59" s="10"/>
      <c r="K59" s="99"/>
    </row>
    <row r="60" customFormat="false" ht="15" hidden="false" customHeight="false" outlineLevel="0" collapsed="false">
      <c r="A60" s="10" t="n">
        <f aca="false">A59+1</f>
        <v>58</v>
      </c>
      <c r="B60" s="11" t="str">
        <f aca="false">com.sun.star.sheet.addin.Analysis.getDec2Hex(2560+A60)</f>
        <v>A3A</v>
      </c>
      <c r="C60" s="11"/>
      <c r="D60" s="97"/>
      <c r="E60" s="10"/>
      <c r="F60" s="10"/>
      <c r="G60" s="99"/>
      <c r="H60" s="96"/>
      <c r="I60" s="10"/>
      <c r="J60" s="10"/>
      <c r="K60" s="99"/>
    </row>
    <row r="61" customFormat="false" ht="15" hidden="false" customHeight="false" outlineLevel="0" collapsed="false">
      <c r="A61" s="10" t="n">
        <f aca="false">A60+1</f>
        <v>59</v>
      </c>
      <c r="B61" s="11" t="str">
        <f aca="false">com.sun.star.sheet.addin.Analysis.getDec2Hex(2560+A61)</f>
        <v>A3B</v>
      </c>
      <c r="C61" s="11"/>
      <c r="D61" s="97"/>
      <c r="E61" s="10"/>
      <c r="F61" s="10"/>
      <c r="G61" s="99"/>
      <c r="H61" s="96"/>
      <c r="I61" s="10"/>
      <c r="J61" s="10"/>
      <c r="K61" s="99"/>
    </row>
    <row r="62" customFormat="false" ht="15" hidden="false" customHeight="false" outlineLevel="0" collapsed="false">
      <c r="A62" s="10" t="n">
        <f aca="false">A61+1</f>
        <v>60</v>
      </c>
      <c r="B62" s="11" t="str">
        <f aca="false">com.sun.star.sheet.addin.Analysis.getDec2Hex(2560+A62)</f>
        <v>A3C</v>
      </c>
      <c r="C62" s="11"/>
      <c r="D62" s="97"/>
      <c r="E62" s="10"/>
      <c r="F62" s="10"/>
      <c r="G62" s="99"/>
      <c r="H62" s="96"/>
      <c r="I62" s="10"/>
      <c r="J62" s="10"/>
      <c r="K62" s="99"/>
    </row>
    <row r="63" customFormat="false" ht="15" hidden="false" customHeight="false" outlineLevel="0" collapsed="false">
      <c r="A63" s="10" t="n">
        <f aca="false">A62+1</f>
        <v>61</v>
      </c>
      <c r="B63" s="11" t="str">
        <f aca="false">com.sun.star.sheet.addin.Analysis.getDec2Hex(2560+A63)</f>
        <v>A3D</v>
      </c>
      <c r="C63" s="11"/>
      <c r="D63" s="97"/>
      <c r="E63" s="10"/>
      <c r="F63" s="10"/>
      <c r="G63" s="99"/>
      <c r="H63" s="96"/>
      <c r="I63" s="10"/>
      <c r="J63" s="10"/>
      <c r="K63" s="99"/>
    </row>
    <row r="64" customFormat="false" ht="15" hidden="false" customHeight="false" outlineLevel="0" collapsed="false">
      <c r="A64" s="10" t="n">
        <f aca="false">A63+1</f>
        <v>62</v>
      </c>
      <c r="B64" s="11" t="str">
        <f aca="false">com.sun.star.sheet.addin.Analysis.getDec2Hex(2560+A64)</f>
        <v>A3E</v>
      </c>
      <c r="C64" s="11"/>
      <c r="D64" s="97"/>
      <c r="E64" s="10"/>
      <c r="F64" s="10"/>
      <c r="G64" s="99"/>
      <c r="H64" s="96"/>
      <c r="I64" s="10"/>
      <c r="J64" s="10"/>
      <c r="K64" s="99"/>
    </row>
    <row r="65" s="62" customFormat="true" ht="15" hidden="false" customHeight="false" outlineLevel="0" collapsed="false">
      <c r="A65" s="54" t="n">
        <f aca="false">A64+1</f>
        <v>63</v>
      </c>
      <c r="B65" s="55" t="str">
        <f aca="false">com.sun.star.sheet.addin.Analysis.getDec2Hex(2560+A65)</f>
        <v>A3F</v>
      </c>
      <c r="C65" s="55"/>
      <c r="D65" s="151"/>
      <c r="E65" s="54"/>
      <c r="F65" s="54"/>
      <c r="G65" s="103"/>
      <c r="H65" s="102"/>
      <c r="I65" s="54"/>
      <c r="J65" s="54"/>
      <c r="K65" s="103"/>
      <c r="L65" s="148"/>
      <c r="M65" s="149"/>
      <c r="N65" s="149"/>
    </row>
    <row r="66" customFormat="false" ht="15" hidden="false" customHeight="false" outlineLevel="0" collapsed="false">
      <c r="A66" s="63" t="n">
        <f aca="false">A65+1</f>
        <v>64</v>
      </c>
      <c r="B66" s="64" t="str">
        <f aca="false">com.sun.star.sheet.addin.Analysis.getDec2Hex(2560+A66)</f>
        <v>A40</v>
      </c>
      <c r="C66" s="64"/>
      <c r="D66" s="20" t="str">
        <f aca="false">"Chest "&amp;8*($A66-64)+D$1</f>
        <v>Chest 7</v>
      </c>
      <c r="E66" s="20" t="str">
        <f aca="false">"Chest "&amp;8*($A66-64)+E$1</f>
        <v>Chest 6</v>
      </c>
      <c r="F66" s="20" t="str">
        <f aca="false">"Chest "&amp;8*($A66-64)+F$1</f>
        <v>Chest 5</v>
      </c>
      <c r="G66" s="105" t="str">
        <f aca="false">"Chest "&amp;8*($A66-64)+G$1</f>
        <v>Chest 4</v>
      </c>
      <c r="H66" s="106" t="str">
        <f aca="false">"Chest "&amp;8*($A66-64)+H$1</f>
        <v>Chest 3</v>
      </c>
      <c r="I66" s="20" t="str">
        <f aca="false">"Chest "&amp;8*($A66-64)+I$1</f>
        <v>Chest 2</v>
      </c>
      <c r="J66" s="20" t="str">
        <f aca="false">"Chest "&amp;8*($A66-64)+J$1</f>
        <v>Chest 1</v>
      </c>
      <c r="K66" s="20"/>
    </row>
    <row r="67" customFormat="false" ht="15" hidden="false" customHeight="false" outlineLevel="0" collapsed="false">
      <c r="A67" s="10" t="n">
        <f aca="false">A66+1</f>
        <v>65</v>
      </c>
      <c r="B67" s="11" t="str">
        <f aca="false">com.sun.star.sheet.addin.Analysis.getDec2Hex(2560+A67)</f>
        <v>A41</v>
      </c>
      <c r="C67" s="11"/>
      <c r="D67" s="20" t="str">
        <f aca="false">"Chest "&amp;8*($A67-64)+D$1</f>
        <v>Chest 15</v>
      </c>
      <c r="E67" s="20" t="str">
        <f aca="false">"Chest "&amp;8*($A67-64)+E$1</f>
        <v>Chest 14</v>
      </c>
      <c r="F67" s="20" t="str">
        <f aca="false">"Chest "&amp;8*($A67-64)+F$1</f>
        <v>Chest 13</v>
      </c>
      <c r="G67" s="107" t="str">
        <f aca="false">"Chest "&amp;8*($A67-64)+G$1</f>
        <v>Chest 12</v>
      </c>
      <c r="H67" s="106" t="str">
        <f aca="false">"Chest "&amp;8*($A67-64)+H$1</f>
        <v>Chest 11</v>
      </c>
      <c r="I67" s="20" t="str">
        <f aca="false">"Chest "&amp;8*($A67-64)+I$1</f>
        <v>Chest 10</v>
      </c>
      <c r="J67" s="20" t="str">
        <f aca="false">"Chest "&amp;8*($A67-64)+J$1</f>
        <v>Chest 9</v>
      </c>
      <c r="K67" s="20" t="str">
        <f aca="false">"Chest "&amp;8*($A67-64)+K$1</f>
        <v>Chest 8</v>
      </c>
    </row>
    <row r="68" customFormat="false" ht="15" hidden="false" customHeight="false" outlineLevel="0" collapsed="false">
      <c r="A68" s="10" t="n">
        <f aca="false">A67+1</f>
        <v>66</v>
      </c>
      <c r="B68" s="11" t="str">
        <f aca="false">com.sun.star.sheet.addin.Analysis.getDec2Hex(2560+A68)</f>
        <v>A42</v>
      </c>
      <c r="C68" s="11"/>
      <c r="D68" s="20" t="str">
        <f aca="false">"Chest "&amp;8*($A68-64)+D$1</f>
        <v>Chest 23</v>
      </c>
      <c r="E68" s="20" t="str">
        <f aca="false">"Chest "&amp;8*($A68-64)+E$1</f>
        <v>Chest 22</v>
      </c>
      <c r="F68" s="20" t="str">
        <f aca="false">"Chest "&amp;8*($A68-64)+F$1</f>
        <v>Chest 21</v>
      </c>
      <c r="G68" s="107" t="str">
        <f aca="false">"Chest "&amp;8*($A68-64)+G$1</f>
        <v>Chest 20</v>
      </c>
      <c r="H68" s="106" t="str">
        <f aca="false">"Chest "&amp;8*($A68-64)+H$1</f>
        <v>Chest 19</v>
      </c>
      <c r="I68" s="20" t="str">
        <f aca="false">"Chest "&amp;8*($A68-64)+I$1</f>
        <v>Chest 18</v>
      </c>
      <c r="J68" s="20" t="str">
        <f aca="false">"Chest "&amp;8*($A68-64)+J$1</f>
        <v>Chest 17</v>
      </c>
      <c r="K68" s="20" t="str">
        <f aca="false">"Chest "&amp;8*($A68-64)+K$1</f>
        <v>Chest 16</v>
      </c>
    </row>
    <row r="69" customFormat="false" ht="15" hidden="false" customHeight="false" outlineLevel="0" collapsed="false">
      <c r="A69" s="10" t="n">
        <f aca="false">A68+1</f>
        <v>67</v>
      </c>
      <c r="B69" s="11" t="str">
        <f aca="false">com.sun.star.sheet.addin.Analysis.getDec2Hex(2560+A69)</f>
        <v>A43</v>
      </c>
      <c r="C69" s="11"/>
      <c r="D69" s="20" t="str">
        <f aca="false">"Chest "&amp;8*($A69-64)+D$1</f>
        <v>Chest 31</v>
      </c>
      <c r="E69" s="20" t="str">
        <f aca="false">"Chest "&amp;8*($A69-64)+E$1</f>
        <v>Chest 30</v>
      </c>
      <c r="F69" s="20" t="str">
        <f aca="false">"Chest "&amp;8*($A69-64)+F$1</f>
        <v>Chest 29</v>
      </c>
      <c r="G69" s="107" t="str">
        <f aca="false">"Chest "&amp;8*($A69-64)+G$1</f>
        <v>Chest 28</v>
      </c>
      <c r="H69" s="106" t="str">
        <f aca="false">"Chest "&amp;8*($A69-64)+H$1</f>
        <v>Chest 27</v>
      </c>
      <c r="I69" s="20" t="str">
        <f aca="false">"Chest "&amp;8*($A69-64)+I$1</f>
        <v>Chest 26</v>
      </c>
      <c r="J69" s="20" t="str">
        <f aca="false">"Chest "&amp;8*($A69-64)+J$1</f>
        <v>Chest 25</v>
      </c>
      <c r="K69" s="20" t="str">
        <f aca="false">"Chest "&amp;8*($A69-64)+K$1</f>
        <v>Chest 24</v>
      </c>
    </row>
    <row r="70" customFormat="false" ht="15" hidden="false" customHeight="false" outlineLevel="0" collapsed="false">
      <c r="A70" s="10" t="n">
        <f aca="false">A69+1</f>
        <v>68</v>
      </c>
      <c r="B70" s="11" t="str">
        <f aca="false">com.sun.star.sheet.addin.Analysis.getDec2Hex(2560+A70)</f>
        <v>A44</v>
      </c>
      <c r="C70" s="11"/>
      <c r="D70" s="20" t="str">
        <f aca="false">"Chest "&amp;8*($A70-64)+D$1</f>
        <v>Chest 39</v>
      </c>
      <c r="E70" s="20" t="str">
        <f aca="false">"Chest "&amp;8*($A70-64)+E$1</f>
        <v>Chest 38</v>
      </c>
      <c r="F70" s="20" t="str">
        <f aca="false">"Chest "&amp;8*($A70-64)+F$1</f>
        <v>Chest 37</v>
      </c>
      <c r="G70" s="107" t="str">
        <f aca="false">"Chest "&amp;8*($A70-64)+G$1</f>
        <v>Chest 36</v>
      </c>
      <c r="H70" s="106" t="str">
        <f aca="false">"Chest "&amp;8*($A70-64)+H$1</f>
        <v>Chest 35</v>
      </c>
      <c r="I70" s="20" t="str">
        <f aca="false">"Chest "&amp;8*($A70-64)+I$1</f>
        <v>Chest 34</v>
      </c>
      <c r="J70" s="20" t="str">
        <f aca="false">"Chest "&amp;8*($A70-64)+J$1</f>
        <v>Chest 33</v>
      </c>
      <c r="K70" s="20" t="str">
        <f aca="false">"Chest "&amp;8*($A70-64)+K$1</f>
        <v>Chest 32</v>
      </c>
    </row>
    <row r="71" customFormat="false" ht="15" hidden="false" customHeight="false" outlineLevel="0" collapsed="false">
      <c r="A71" s="10" t="n">
        <f aca="false">A70+1</f>
        <v>69</v>
      </c>
      <c r="B71" s="11" t="str">
        <f aca="false">com.sun.star.sheet.addin.Analysis.getDec2Hex(2560+A71)</f>
        <v>A45</v>
      </c>
      <c r="C71" s="11"/>
      <c r="D71" s="109" t="str">
        <f aca="false">"(Unused) Chest "&amp;8*($A71-64)+D$1</f>
        <v>(Unused) Chest 47</v>
      </c>
      <c r="E71" s="20" t="str">
        <f aca="false">"Chest "&amp;8*($A71-64)+E$1</f>
        <v>Chest 46</v>
      </c>
      <c r="F71" s="20" t="str">
        <f aca="false">"Chest "&amp;8*($A71-64)+F$1</f>
        <v>Chest 45</v>
      </c>
      <c r="G71" s="107" t="str">
        <f aca="false">"Chest "&amp;8*($A71-64)+G$1</f>
        <v>Chest 44</v>
      </c>
      <c r="H71" s="106" t="str">
        <f aca="false">"Chest "&amp;8*($A71-64)+H$1</f>
        <v>Chest 43</v>
      </c>
      <c r="I71" s="20" t="str">
        <f aca="false">"Chest "&amp;8*($A71-64)+I$1</f>
        <v>Chest 42</v>
      </c>
      <c r="J71" s="20" t="str">
        <f aca="false">"Chest "&amp;8*($A71-64)+J$1</f>
        <v>Chest 41</v>
      </c>
      <c r="K71" s="20" t="str">
        <f aca="false">"Chest "&amp;8*($A71-64)+K$1</f>
        <v>Chest 40</v>
      </c>
    </row>
    <row r="72" customFormat="false" ht="15" hidden="false" customHeight="false" outlineLevel="0" collapsed="false">
      <c r="A72" s="10" t="n">
        <f aca="false">A71+1</f>
        <v>70</v>
      </c>
      <c r="B72" s="11" t="str">
        <f aca="false">com.sun.star.sheet.addin.Analysis.getDec2Hex(2560+A72)</f>
        <v>A46</v>
      </c>
      <c r="C72" s="11"/>
      <c r="D72" s="109" t="str">
        <f aca="false">"(Unused) Chest "&amp;8*($A72-64)+D$1</f>
        <v>(Unused) Chest 55</v>
      </c>
      <c r="E72" s="109" t="str">
        <f aca="false">"(Unused) Chest "&amp;8*($A72-64)+E$1</f>
        <v>(Unused) Chest 54</v>
      </c>
      <c r="F72" s="109" t="str">
        <f aca="false">"(Unused) Chest "&amp;8*($A72-64)+F$1</f>
        <v>(Unused) Chest 53</v>
      </c>
      <c r="G72" s="109" t="str">
        <f aca="false">"(Unused) Chest "&amp;8*($A72-64)+G$1</f>
        <v>(Unused) Chest 52</v>
      </c>
      <c r="H72" s="108" t="str">
        <f aca="false">"(Unused) Chest "&amp;8*($A72-64)+H$1</f>
        <v>(Unused) Chest 51</v>
      </c>
      <c r="I72" s="109" t="str">
        <f aca="false">"(Unused) Chest "&amp;8*($A72-64)+I$1</f>
        <v>(Unused) Chest 50</v>
      </c>
      <c r="J72" s="109" t="str">
        <f aca="false">"(Unused) Chest "&amp;8*($A72-64)+J$1</f>
        <v>(Unused) Chest 49</v>
      </c>
      <c r="K72" s="109" t="str">
        <f aca="false">"(Unused) Chest "&amp;8*($A72-64)+K$1</f>
        <v>(Unused) Chest 48</v>
      </c>
    </row>
    <row r="73" customFormat="false" ht="15" hidden="false" customHeight="false" outlineLevel="0" collapsed="false">
      <c r="A73" s="10" t="n">
        <f aca="false">A72+1</f>
        <v>71</v>
      </c>
      <c r="B73" s="11" t="str">
        <f aca="false">com.sun.star.sheet.addin.Analysis.getDec2Hex(2560+A73)</f>
        <v>A47</v>
      </c>
      <c r="C73" s="11"/>
      <c r="D73" s="109" t="str">
        <f aca="false">"(Unused) Chest "&amp;8*($A73-64)+D$1</f>
        <v>(Unused) Chest 63</v>
      </c>
      <c r="E73" s="109" t="str">
        <f aca="false">"(Unused) Chest "&amp;8*($A73-64)+E$1</f>
        <v>(Unused) Chest 62</v>
      </c>
      <c r="F73" s="109" t="str">
        <f aca="false">"(Unused) Chest "&amp;8*($A73-64)+F$1</f>
        <v>(Unused) Chest 61</v>
      </c>
      <c r="G73" s="109" t="str">
        <f aca="false">"(Unused) Chest "&amp;8*($A73-64)+G$1</f>
        <v>(Unused) Chest 60</v>
      </c>
      <c r="H73" s="108" t="str">
        <f aca="false">"(Unused) Chest "&amp;8*($A73-64)+H$1</f>
        <v>(Unused) Chest 59</v>
      </c>
      <c r="I73" s="109" t="str">
        <f aca="false">"(Unused) Chest "&amp;8*($A73-64)+I$1</f>
        <v>(Unused) Chest 58</v>
      </c>
      <c r="J73" s="109" t="str">
        <f aca="false">"(Unused) Chest "&amp;8*($A73-64)+J$1</f>
        <v>(Unused) Chest 57</v>
      </c>
      <c r="K73" s="109" t="str">
        <f aca="false">"(Unused) Chest "&amp;8*($A73-64)+K$1</f>
        <v>(Unused) Chest 56</v>
      </c>
    </row>
    <row r="74" customFormat="false" ht="15" hidden="false" customHeight="false" outlineLevel="0" collapsed="false">
      <c r="A74" s="10" t="n">
        <f aca="false">A73+1</f>
        <v>72</v>
      </c>
      <c r="B74" s="11" t="str">
        <f aca="false">com.sun.star.sheet.addin.Analysis.getDec2Hex(2560+A74)</f>
        <v>A48</v>
      </c>
      <c r="C74" s="11"/>
      <c r="D74" s="109" t="str">
        <f aca="false">"(Unused) Chest "&amp;8*($A74-64)+D$1</f>
        <v>(Unused) Chest 71</v>
      </c>
      <c r="E74" s="109" t="str">
        <f aca="false">"(Unused) Chest "&amp;8*($A74-64)+E$1</f>
        <v>(Unused) Chest 70</v>
      </c>
      <c r="F74" s="109" t="str">
        <f aca="false">"(Unused) Chest "&amp;8*($A74-64)+F$1</f>
        <v>(Unused) Chest 69</v>
      </c>
      <c r="G74" s="109" t="str">
        <f aca="false">"(Unused) Chest "&amp;8*($A74-64)+G$1</f>
        <v>(Unused) Chest 68</v>
      </c>
      <c r="H74" s="108" t="str">
        <f aca="false">"(Unused) Chest "&amp;8*($A74-64)+H$1</f>
        <v>(Unused) Chest 67</v>
      </c>
      <c r="I74" s="109" t="str">
        <f aca="false">"(Unused) Chest "&amp;8*($A74-64)+I$1</f>
        <v>(Unused) Chest 66</v>
      </c>
      <c r="J74" s="109" t="str">
        <f aca="false">"(Unused) Chest "&amp;8*($A74-64)+J$1</f>
        <v>(Unused) Chest 65</v>
      </c>
      <c r="K74" s="109" t="str">
        <f aca="false">"(Unused) Chest "&amp;8*($A74-64)+K$1</f>
        <v>(Unused) Chest 64</v>
      </c>
    </row>
    <row r="75" customFormat="false" ht="15" hidden="false" customHeight="false" outlineLevel="0" collapsed="false">
      <c r="A75" s="10" t="n">
        <f aca="false">A74+1</f>
        <v>73</v>
      </c>
      <c r="B75" s="11" t="str">
        <f aca="false">com.sun.star.sheet.addin.Analysis.getDec2Hex(2560+A75)</f>
        <v>A49</v>
      </c>
      <c r="C75" s="11"/>
      <c r="D75" s="109" t="str">
        <f aca="false">"(Unused) Chest "&amp;8*($A75-64)+D$1</f>
        <v>(Unused) Chest 79</v>
      </c>
      <c r="E75" s="109" t="str">
        <f aca="false">"(Unused) Chest "&amp;8*($A75-64)+E$1</f>
        <v>(Unused) Chest 78</v>
      </c>
      <c r="F75" s="109" t="str">
        <f aca="false">"(Unused) Chest "&amp;8*($A75-64)+F$1</f>
        <v>(Unused) Chest 77</v>
      </c>
      <c r="G75" s="109" t="str">
        <f aca="false">"(Unused) Chest "&amp;8*($A75-64)+G$1</f>
        <v>(Unused) Chest 76</v>
      </c>
      <c r="H75" s="108" t="str">
        <f aca="false">"(Unused) Chest "&amp;8*($A75-64)+H$1</f>
        <v>(Unused) Chest 75</v>
      </c>
      <c r="I75" s="109" t="str">
        <f aca="false">"(Unused) Chest "&amp;8*($A75-64)+I$1</f>
        <v>(Unused) Chest 74</v>
      </c>
      <c r="J75" s="109" t="str">
        <f aca="false">"(Unused) Chest "&amp;8*($A75-64)+J$1</f>
        <v>(Unused) Chest 73</v>
      </c>
      <c r="K75" s="109" t="str">
        <f aca="false">"(Unused) Chest "&amp;8*($A75-64)+K$1</f>
        <v>(Unused) Chest 72</v>
      </c>
    </row>
    <row r="76" customFormat="false" ht="15" hidden="false" customHeight="false" outlineLevel="0" collapsed="false">
      <c r="A76" s="10" t="n">
        <f aca="false">A75+1</f>
        <v>74</v>
      </c>
      <c r="B76" s="11" t="str">
        <f aca="false">com.sun.star.sheet.addin.Analysis.getDec2Hex(2560+A76)</f>
        <v>A4A</v>
      </c>
      <c r="C76" s="11"/>
      <c r="D76" s="109" t="str">
        <f aca="false">"(Unused) Chest "&amp;8*($A76-64)+D$1</f>
        <v>(Unused) Chest 87</v>
      </c>
      <c r="E76" s="109" t="str">
        <f aca="false">"(Unused) Chest "&amp;8*($A76-64)+E$1</f>
        <v>(Unused) Chest 86</v>
      </c>
      <c r="F76" s="109" t="str">
        <f aca="false">"(Unused) Chest "&amp;8*($A76-64)+F$1</f>
        <v>(Unused) Chest 85</v>
      </c>
      <c r="G76" s="109" t="str">
        <f aca="false">"(Unused) Chest "&amp;8*($A76-64)+G$1</f>
        <v>(Unused) Chest 84</v>
      </c>
      <c r="H76" s="108" t="str">
        <f aca="false">"(Unused) Chest "&amp;8*($A76-64)+H$1</f>
        <v>(Unused) Chest 83</v>
      </c>
      <c r="I76" s="109" t="str">
        <f aca="false">"(Unused) Chest "&amp;8*($A76-64)+I$1</f>
        <v>(Unused) Chest 82</v>
      </c>
      <c r="J76" s="109" t="str">
        <f aca="false">"(Unused) Chest "&amp;8*($A76-64)+J$1</f>
        <v>(Unused) Chest 81</v>
      </c>
      <c r="K76" s="109" t="str">
        <f aca="false">"(Unused) Chest "&amp;8*($A76-64)+K$1</f>
        <v>(Unused) Chest 80</v>
      </c>
    </row>
    <row r="77" customFormat="false" ht="15" hidden="false" customHeight="false" outlineLevel="0" collapsed="false">
      <c r="A77" s="10" t="n">
        <f aca="false">A76+1</f>
        <v>75</v>
      </c>
      <c r="B77" s="11" t="str">
        <f aca="false">com.sun.star.sheet.addin.Analysis.getDec2Hex(2560+A77)</f>
        <v>A4B</v>
      </c>
      <c r="C77" s="11"/>
      <c r="D77" s="109" t="str">
        <f aca="false">"(Unused) Chest "&amp;8*($A77-64)+D$1</f>
        <v>(Unused) Chest 95</v>
      </c>
      <c r="E77" s="109" t="str">
        <f aca="false">"(Unused) Chest "&amp;8*($A77-64)+E$1</f>
        <v>(Unused) Chest 94</v>
      </c>
      <c r="F77" s="109" t="str">
        <f aca="false">"(Unused) Chest "&amp;8*($A77-64)+F$1</f>
        <v>(Unused) Chest 93</v>
      </c>
      <c r="G77" s="109" t="str">
        <f aca="false">"(Unused) Chest "&amp;8*($A77-64)+G$1</f>
        <v>(Unused) Chest 92</v>
      </c>
      <c r="H77" s="108" t="str">
        <f aca="false">"(Unused) Chest "&amp;8*($A77-64)+H$1</f>
        <v>(Unused) Chest 91</v>
      </c>
      <c r="I77" s="109" t="str">
        <f aca="false">"(Unused) Chest "&amp;8*($A77-64)+I$1</f>
        <v>(Unused) Chest 90</v>
      </c>
      <c r="J77" s="109" t="str">
        <f aca="false">"(Unused) Chest "&amp;8*($A77-64)+J$1</f>
        <v>(Unused) Chest 89</v>
      </c>
      <c r="K77" s="109" t="str">
        <f aca="false">"(Unused) Chest "&amp;8*($A77-64)+K$1</f>
        <v>(Unused) Chest 88</v>
      </c>
    </row>
    <row r="78" customFormat="false" ht="15" hidden="false" customHeight="false" outlineLevel="0" collapsed="false">
      <c r="A78" s="10" t="n">
        <f aca="false">A77+1</f>
        <v>76</v>
      </c>
      <c r="B78" s="11" t="str">
        <f aca="false">com.sun.star.sheet.addin.Analysis.getDec2Hex(2560+A78)</f>
        <v>A4C</v>
      </c>
      <c r="C78" s="11"/>
      <c r="D78" s="109" t="str">
        <f aca="false">"(Unused) Chest "&amp;8*($A78-64)+D$1</f>
        <v>(Unused) Chest 103</v>
      </c>
      <c r="E78" s="109" t="str">
        <f aca="false">"(Unused) Chest "&amp;8*($A78-64)+E$1</f>
        <v>(Unused) Chest 102</v>
      </c>
      <c r="F78" s="109" t="str">
        <f aca="false">"(Unused) Chest "&amp;8*($A78-64)+F$1</f>
        <v>(Unused) Chest 101</v>
      </c>
      <c r="G78" s="109" t="str">
        <f aca="false">"(Unused) Chest "&amp;8*($A78-64)+G$1</f>
        <v>(Unused) Chest 100</v>
      </c>
      <c r="H78" s="108" t="str">
        <f aca="false">"(Unused) Chest "&amp;8*($A78-64)+H$1</f>
        <v>(Unused) Chest 99</v>
      </c>
      <c r="I78" s="109" t="str">
        <f aca="false">"(Unused) Chest "&amp;8*($A78-64)+I$1</f>
        <v>(Unused) Chest 98</v>
      </c>
      <c r="J78" s="109" t="str">
        <f aca="false">"(Unused) Chest "&amp;8*($A78-64)+J$1</f>
        <v>(Unused) Chest 97</v>
      </c>
      <c r="K78" s="109" t="str">
        <f aca="false">"(Unused) Chest "&amp;8*($A78-64)+K$1</f>
        <v>(Unused) Chest 96</v>
      </c>
    </row>
    <row r="79" customFormat="false" ht="15" hidden="false" customHeight="false" outlineLevel="0" collapsed="false">
      <c r="A79" s="10" t="n">
        <f aca="false">A78+1</f>
        <v>77</v>
      </c>
      <c r="B79" s="11" t="str">
        <f aca="false">com.sun.star.sheet.addin.Analysis.getDec2Hex(2560+A79)</f>
        <v>A4D</v>
      </c>
      <c r="C79" s="11"/>
      <c r="D79" s="109" t="str">
        <f aca="false">"(Unused) Chest "&amp;8*($A79-64)+D$1</f>
        <v>(Unused) Chest 111</v>
      </c>
      <c r="E79" s="109" t="str">
        <f aca="false">"(Unused) Chest "&amp;8*($A79-64)+E$1</f>
        <v>(Unused) Chest 110</v>
      </c>
      <c r="F79" s="109" t="str">
        <f aca="false">"(Unused) Chest "&amp;8*($A79-64)+F$1</f>
        <v>(Unused) Chest 109</v>
      </c>
      <c r="G79" s="109" t="str">
        <f aca="false">"(Unused) Chest "&amp;8*($A79-64)+G$1</f>
        <v>(Unused) Chest 108</v>
      </c>
      <c r="H79" s="108" t="str">
        <f aca="false">"(Unused) Chest "&amp;8*($A79-64)+H$1</f>
        <v>(Unused) Chest 107</v>
      </c>
      <c r="I79" s="109" t="str">
        <f aca="false">"(Unused) Chest "&amp;8*($A79-64)+I$1</f>
        <v>(Unused) Chest 106</v>
      </c>
      <c r="J79" s="109" t="str">
        <f aca="false">"(Unused) Chest "&amp;8*($A79-64)+J$1</f>
        <v>(Unused) Chest 105</v>
      </c>
      <c r="K79" s="109" t="str">
        <f aca="false">"(Unused) Chest "&amp;8*($A79-64)+K$1</f>
        <v>(Unused) Chest 104</v>
      </c>
    </row>
    <row r="80" customFormat="false" ht="15" hidden="false" customHeight="false" outlineLevel="0" collapsed="false">
      <c r="A80" s="10" t="n">
        <f aca="false">A79+1</f>
        <v>78</v>
      </c>
      <c r="B80" s="11" t="str">
        <f aca="false">com.sun.star.sheet.addin.Analysis.getDec2Hex(2560+A80)</f>
        <v>A4E</v>
      </c>
      <c r="C80" s="11"/>
      <c r="D80" s="109" t="str">
        <f aca="false">"(Unused) Chest "&amp;8*($A80-64)+D$1</f>
        <v>(Unused) Chest 119</v>
      </c>
      <c r="E80" s="109" t="str">
        <f aca="false">"(Unused) Chest "&amp;8*($A80-64)+E$1</f>
        <v>(Unused) Chest 118</v>
      </c>
      <c r="F80" s="109" t="str">
        <f aca="false">"(Unused) Chest "&amp;8*($A80-64)+F$1</f>
        <v>(Unused) Chest 117</v>
      </c>
      <c r="G80" s="109" t="str">
        <f aca="false">"(Unused) Chest "&amp;8*($A80-64)+G$1</f>
        <v>(Unused) Chest 116</v>
      </c>
      <c r="H80" s="108" t="str">
        <f aca="false">"(Unused) Chest "&amp;8*($A80-64)+H$1</f>
        <v>(Unused) Chest 115</v>
      </c>
      <c r="I80" s="109" t="str">
        <f aca="false">"(Unused) Chest "&amp;8*($A80-64)+I$1</f>
        <v>(Unused) Chest 114</v>
      </c>
      <c r="J80" s="109" t="str">
        <f aca="false">"(Unused) Chest "&amp;8*($A80-64)+J$1</f>
        <v>(Unused) Chest 113</v>
      </c>
      <c r="K80" s="109" t="str">
        <f aca="false">"(Unused) Chest "&amp;8*($A80-64)+K$1</f>
        <v>(Unused) Chest 112</v>
      </c>
    </row>
    <row r="81" s="62" customFormat="true" ht="15" hidden="false" customHeight="false" outlineLevel="0" collapsed="false">
      <c r="A81" s="54" t="n">
        <f aca="false">A80+1</f>
        <v>79</v>
      </c>
      <c r="B81" s="55" t="str">
        <f aca="false">com.sun.star.sheet.addin.Analysis.getDec2Hex(2560+A81)</f>
        <v>A4F</v>
      </c>
      <c r="C81" s="55"/>
      <c r="D81" s="127" t="str">
        <f aca="false">"(Unused) Chest "&amp;8*($A81-64)+D$1</f>
        <v>(Unused) Chest 127</v>
      </c>
      <c r="E81" s="127" t="str">
        <f aca="false">"(Unused) Chest "&amp;8*($A81-64)+E$1</f>
        <v>(Unused) Chest 126</v>
      </c>
      <c r="F81" s="127" t="str">
        <f aca="false">"(Unused) Chest "&amp;8*($A81-64)+F$1</f>
        <v>(Unused) Chest 125</v>
      </c>
      <c r="G81" s="127" t="str">
        <f aca="false">"(Unused) Chest "&amp;8*($A81-64)+G$1</f>
        <v>(Unused) Chest 124</v>
      </c>
      <c r="H81" s="126" t="str">
        <f aca="false">"(Unused) Chest "&amp;8*($A81-64)+H$1</f>
        <v>(Unused) Chest 123</v>
      </c>
      <c r="I81" s="127" t="str">
        <f aca="false">"(Unused) Chest "&amp;8*($A81-64)+I$1</f>
        <v>(Unused) Chest 122</v>
      </c>
      <c r="J81" s="127" t="str">
        <f aca="false">"(Unused) Chest "&amp;8*($A81-64)+J$1</f>
        <v>(Unused) Chest 121</v>
      </c>
      <c r="K81" s="127" t="str">
        <f aca="false">"(Unused) Chest "&amp;8*($A81-64)+K$1</f>
        <v>(Unused) Chest 120</v>
      </c>
      <c r="L81" s="148"/>
      <c r="M81" s="149"/>
      <c r="N81" s="149"/>
    </row>
    <row r="82" customFormat="false" ht="15" hidden="false" customHeight="false" outlineLevel="0" collapsed="false">
      <c r="A82" s="63" t="n">
        <f aca="false">A81+1</f>
        <v>80</v>
      </c>
      <c r="B82" s="64" t="str">
        <f aca="false">com.sun.star.sheet.addin.Analysis.getDec2Hex(2560+A82)</f>
        <v>A50</v>
      </c>
      <c r="C82" s="64"/>
      <c r="D82" s="23" t="s">
        <v>356</v>
      </c>
      <c r="E82" s="23" t="s">
        <v>357</v>
      </c>
      <c r="F82" s="23" t="s">
        <v>358</v>
      </c>
      <c r="G82" s="23" t="s">
        <v>359</v>
      </c>
      <c r="H82" s="24" t="s">
        <v>360</v>
      </c>
      <c r="I82" s="23" t="s">
        <v>361</v>
      </c>
      <c r="J82" s="23" t="s">
        <v>362</v>
      </c>
      <c r="K82" s="73" t="s">
        <v>363</v>
      </c>
    </row>
    <row r="83" customFormat="false" ht="15" hidden="false" customHeight="false" outlineLevel="0" collapsed="false">
      <c r="A83" s="10" t="n">
        <f aca="false">A82+1</f>
        <v>81</v>
      </c>
      <c r="B83" s="11" t="str">
        <f aca="false">com.sun.star.sheet.addin.Analysis.getDec2Hex(2560+A83)</f>
        <v>A51</v>
      </c>
      <c r="C83" s="11"/>
      <c r="D83" s="97"/>
      <c r="E83" s="10"/>
      <c r="F83" s="23" t="s">
        <v>364</v>
      </c>
      <c r="G83" s="23" t="s">
        <v>365</v>
      </c>
      <c r="H83" s="24" t="s">
        <v>366</v>
      </c>
      <c r="I83" s="23" t="s">
        <v>367</v>
      </c>
      <c r="J83" s="23" t="s">
        <v>368</v>
      </c>
      <c r="K83" s="73" t="s">
        <v>369</v>
      </c>
    </row>
    <row r="84" customFormat="false" ht="15" hidden="false" customHeight="false" outlineLevel="0" collapsed="false">
      <c r="A84" s="10" t="n">
        <f aca="false">A83+1</f>
        <v>82</v>
      </c>
      <c r="B84" s="11" t="str">
        <f aca="false">com.sun.star.sheet.addin.Analysis.getDec2Hex(2560+A84)</f>
        <v>A52</v>
      </c>
      <c r="C84" s="11"/>
      <c r="D84" s="97"/>
      <c r="E84" s="10"/>
      <c r="F84" s="10"/>
      <c r="G84" s="99"/>
      <c r="H84" s="96"/>
      <c r="I84" s="10"/>
      <c r="J84" s="10"/>
      <c r="K84" s="99"/>
    </row>
    <row r="85" customFormat="false" ht="15" hidden="false" customHeight="false" outlineLevel="0" collapsed="false">
      <c r="A85" s="10" t="n">
        <f aca="false">A84+1</f>
        <v>83</v>
      </c>
      <c r="B85" s="11" t="str">
        <f aca="false">com.sun.star.sheet.addin.Analysis.getDec2Hex(2560+A85)</f>
        <v>A53</v>
      </c>
      <c r="C85" s="11"/>
      <c r="D85" s="97"/>
      <c r="E85" s="10"/>
      <c r="F85" s="10"/>
      <c r="G85" s="99"/>
      <c r="H85" s="96"/>
      <c r="I85" s="10"/>
      <c r="J85" s="10"/>
      <c r="K85" s="99"/>
    </row>
    <row r="86" customFormat="false" ht="15" hidden="false" customHeight="false" outlineLevel="0" collapsed="false">
      <c r="A86" s="10" t="n">
        <f aca="false">A85+1</f>
        <v>84</v>
      </c>
      <c r="B86" s="11" t="str">
        <f aca="false">com.sun.star.sheet.addin.Analysis.getDec2Hex(2560+A86)</f>
        <v>A54</v>
      </c>
      <c r="C86" s="11"/>
      <c r="D86" s="97"/>
      <c r="E86" s="10"/>
      <c r="F86" s="10"/>
      <c r="G86" s="99"/>
      <c r="H86" s="96"/>
      <c r="I86" s="10"/>
      <c r="J86" s="10"/>
      <c r="K86" s="99"/>
    </row>
    <row r="87" customFormat="false" ht="15" hidden="false" customHeight="false" outlineLevel="0" collapsed="false">
      <c r="A87" s="10" t="n">
        <f aca="false">A86+1</f>
        <v>85</v>
      </c>
      <c r="B87" s="11" t="str">
        <f aca="false">com.sun.star.sheet.addin.Analysis.getDec2Hex(2560+A87)</f>
        <v>A55</v>
      </c>
      <c r="C87" s="11"/>
      <c r="D87" s="97"/>
      <c r="E87" s="10"/>
      <c r="F87" s="10"/>
      <c r="G87" s="99"/>
      <c r="H87" s="96"/>
      <c r="I87" s="10"/>
      <c r="J87" s="10"/>
      <c r="K87" s="99"/>
    </row>
    <row r="88" customFormat="false" ht="15" hidden="false" customHeight="false" outlineLevel="0" collapsed="false">
      <c r="A88" s="10" t="n">
        <f aca="false">A87+1</f>
        <v>86</v>
      </c>
      <c r="B88" s="11" t="str">
        <f aca="false">com.sun.star.sheet.addin.Analysis.getDec2Hex(2560+A88)</f>
        <v>A56</v>
      </c>
      <c r="C88" s="11"/>
      <c r="D88" s="97"/>
      <c r="E88" s="10"/>
      <c r="F88" s="10"/>
      <c r="G88" s="99"/>
      <c r="H88" s="96"/>
      <c r="I88" s="10"/>
      <c r="J88" s="10"/>
      <c r="K88" s="99"/>
    </row>
    <row r="89" customFormat="false" ht="15" hidden="false" customHeight="false" outlineLevel="0" collapsed="false">
      <c r="A89" s="10" t="n">
        <f aca="false">A88+1</f>
        <v>87</v>
      </c>
      <c r="B89" s="11" t="str">
        <f aca="false">com.sun.star.sheet.addin.Analysis.getDec2Hex(2560+A89)</f>
        <v>A57</v>
      </c>
      <c r="C89" s="11"/>
      <c r="D89" s="97"/>
      <c r="E89" s="10"/>
      <c r="F89" s="10"/>
      <c r="G89" s="99"/>
      <c r="H89" s="96"/>
      <c r="I89" s="10"/>
      <c r="J89" s="10"/>
      <c r="K89" s="99"/>
    </row>
    <row r="90" customFormat="false" ht="15" hidden="false" customHeight="false" outlineLevel="0" collapsed="false">
      <c r="A90" s="10" t="n">
        <f aca="false">A89+1</f>
        <v>88</v>
      </c>
      <c r="B90" s="11" t="str">
        <f aca="false">com.sun.star.sheet.addin.Analysis.getDec2Hex(2560+A90)</f>
        <v>A58</v>
      </c>
      <c r="C90" s="11"/>
      <c r="D90" s="97"/>
      <c r="E90" s="10"/>
      <c r="F90" s="10"/>
      <c r="G90" s="99"/>
      <c r="H90" s="96"/>
      <c r="I90" s="10"/>
      <c r="J90" s="10"/>
      <c r="K90" s="99"/>
    </row>
    <row r="91" customFormat="false" ht="15" hidden="false" customHeight="false" outlineLevel="0" collapsed="false">
      <c r="A91" s="10" t="n">
        <f aca="false">A90+1</f>
        <v>89</v>
      </c>
      <c r="B91" s="11" t="str">
        <f aca="false">com.sun.star.sheet.addin.Analysis.getDec2Hex(2560+A91)</f>
        <v>A59</v>
      </c>
      <c r="C91" s="11"/>
      <c r="D91" s="97"/>
      <c r="E91" s="10"/>
      <c r="F91" s="10"/>
      <c r="G91" s="99"/>
      <c r="H91" s="96"/>
      <c r="I91" s="10"/>
      <c r="J91" s="10"/>
      <c r="K91" s="99"/>
    </row>
    <row r="92" customFormat="false" ht="15" hidden="false" customHeight="false" outlineLevel="0" collapsed="false">
      <c r="A92" s="10" t="n">
        <f aca="false">A91+1</f>
        <v>90</v>
      </c>
      <c r="B92" s="11" t="str">
        <f aca="false">com.sun.star.sheet.addin.Analysis.getDec2Hex(2560+A92)</f>
        <v>A5A</v>
      </c>
      <c r="C92" s="11"/>
      <c r="D92" s="97"/>
      <c r="E92" s="10"/>
      <c r="F92" s="10"/>
      <c r="G92" s="99"/>
      <c r="H92" s="96"/>
      <c r="I92" s="10"/>
      <c r="J92" s="10"/>
      <c r="K92" s="99"/>
    </row>
    <row r="93" customFormat="false" ht="15" hidden="false" customHeight="false" outlineLevel="0" collapsed="false">
      <c r="A93" s="10" t="n">
        <f aca="false">A92+1</f>
        <v>91</v>
      </c>
      <c r="B93" s="11" t="str">
        <f aca="false">com.sun.star.sheet.addin.Analysis.getDec2Hex(2560+A93)</f>
        <v>A5B</v>
      </c>
      <c r="C93" s="11"/>
      <c r="D93" s="97"/>
      <c r="E93" s="10"/>
      <c r="F93" s="10"/>
      <c r="G93" s="99"/>
      <c r="H93" s="96"/>
      <c r="I93" s="10"/>
      <c r="J93" s="10"/>
      <c r="K93" s="99"/>
    </row>
    <row r="94" customFormat="false" ht="15" hidden="false" customHeight="false" outlineLevel="0" collapsed="false">
      <c r="A94" s="10" t="n">
        <f aca="false">A93+1</f>
        <v>92</v>
      </c>
      <c r="B94" s="11" t="str">
        <f aca="false">com.sun.star.sheet.addin.Analysis.getDec2Hex(2560+A94)</f>
        <v>A5C</v>
      </c>
      <c r="C94" s="11"/>
      <c r="D94" s="97"/>
      <c r="E94" s="10"/>
      <c r="F94" s="10"/>
      <c r="G94" s="99"/>
      <c r="H94" s="96"/>
      <c r="I94" s="10"/>
      <c r="J94" s="10"/>
      <c r="K94" s="99"/>
    </row>
    <row r="95" customFormat="false" ht="15" hidden="false" customHeight="false" outlineLevel="0" collapsed="false">
      <c r="A95" s="10" t="n">
        <f aca="false">A94+1</f>
        <v>93</v>
      </c>
      <c r="B95" s="11" t="str">
        <f aca="false">com.sun.star.sheet.addin.Analysis.getDec2Hex(2560+A95)</f>
        <v>A5D</v>
      </c>
      <c r="C95" s="11"/>
      <c r="D95" s="97"/>
      <c r="E95" s="10"/>
      <c r="F95" s="10"/>
      <c r="G95" s="99"/>
      <c r="H95" s="96"/>
      <c r="I95" s="10"/>
      <c r="J95" s="10"/>
      <c r="K95" s="99"/>
    </row>
    <row r="96" customFormat="false" ht="15" hidden="false" customHeight="false" outlineLevel="0" collapsed="false">
      <c r="A96" s="10" t="n">
        <f aca="false">A95+1</f>
        <v>94</v>
      </c>
      <c r="B96" s="11" t="str">
        <f aca="false">com.sun.star.sheet.addin.Analysis.getDec2Hex(2560+A96)</f>
        <v>A5E</v>
      </c>
      <c r="C96" s="11"/>
      <c r="D96" s="97"/>
      <c r="E96" s="10"/>
      <c r="F96" s="10"/>
      <c r="G96" s="99"/>
      <c r="H96" s="96"/>
      <c r="I96" s="10"/>
      <c r="J96" s="10"/>
      <c r="K96" s="99"/>
    </row>
    <row r="97" s="62" customFormat="true" ht="15" hidden="false" customHeight="false" outlineLevel="0" collapsed="false">
      <c r="A97" s="54" t="n">
        <f aca="false">A96+1</f>
        <v>95</v>
      </c>
      <c r="B97" s="55" t="str">
        <f aca="false">com.sun.star.sheet.addin.Analysis.getDec2Hex(2560+A97)</f>
        <v>A5F</v>
      </c>
      <c r="C97" s="55"/>
      <c r="D97" s="151"/>
      <c r="E97" s="54"/>
      <c r="F97" s="54"/>
      <c r="G97" s="103"/>
      <c r="H97" s="102"/>
      <c r="I97" s="54"/>
      <c r="J97" s="54"/>
      <c r="K97" s="103"/>
      <c r="L97" s="148"/>
      <c r="M97" s="149"/>
      <c r="N97" s="149"/>
    </row>
    <row r="98" customFormat="false" ht="15" hidden="false" customHeight="false" outlineLevel="0" collapsed="false">
      <c r="A98" s="63" t="n">
        <f aca="false">A97+1</f>
        <v>96</v>
      </c>
      <c r="B98" s="64" t="str">
        <f aca="false">com.sun.star.sheet.addin.Analysis.getDec2Hex(2560+A98)</f>
        <v>A60</v>
      </c>
      <c r="C98" s="64"/>
      <c r="D98" s="20" t="str">
        <f aca="false">"Room reward "&amp;8*($A98-96)+D$1</f>
        <v>Room reward 7</v>
      </c>
      <c r="E98" s="20" t="str">
        <f aca="false">"Room reward "&amp;8*($A98-96)+E$1</f>
        <v>Room reward 6</v>
      </c>
      <c r="F98" s="20" t="str">
        <f aca="false">"Room reward "&amp;8*($A98-96)+F$1</f>
        <v>Room reward 5</v>
      </c>
      <c r="G98" s="105" t="str">
        <f aca="false">"Room reward "&amp;8*($A98-96)+G$1</f>
        <v>Room reward 4</v>
      </c>
      <c r="H98" s="106" t="str">
        <f aca="false">"Room reward "&amp;8*($A98-96)+H$1</f>
        <v>Room reward 3</v>
      </c>
      <c r="I98" s="20" t="str">
        <f aca="false">"Room reward "&amp;8*($A98-96)+I$1</f>
        <v>Room reward 2</v>
      </c>
      <c r="J98" s="20" t="str">
        <f aca="false">"Room reward "&amp;8*($A98-96)+J$1</f>
        <v>Room reward 1</v>
      </c>
      <c r="K98" s="20" t="str">
        <f aca="false">"Room reward "&amp;8*($A98-96)+K$1</f>
        <v>Room reward 0</v>
      </c>
    </row>
    <row r="99" customFormat="false" ht="15" hidden="false" customHeight="false" outlineLevel="0" collapsed="false">
      <c r="A99" s="10" t="n">
        <f aca="false">A98+1</f>
        <v>97</v>
      </c>
      <c r="B99" s="11" t="str">
        <f aca="false">com.sun.star.sheet.addin.Analysis.getDec2Hex(2560+A99)</f>
        <v>A61</v>
      </c>
      <c r="C99" s="11"/>
      <c r="D99" s="20" t="str">
        <f aca="false">"Room reward "&amp;8*($A99-96)+D$1</f>
        <v>Room reward 15</v>
      </c>
      <c r="E99" s="20" t="str">
        <f aca="false">"Room reward "&amp;8*($A99-96)+E$1</f>
        <v>Room reward 14</v>
      </c>
      <c r="F99" s="20" t="str">
        <f aca="false">"Room reward "&amp;8*($A99-96)+F$1</f>
        <v>Room reward 13</v>
      </c>
      <c r="G99" s="107" t="str">
        <f aca="false">"Room reward "&amp;8*($A99-96)+G$1</f>
        <v>Room reward 12</v>
      </c>
      <c r="H99" s="106" t="str">
        <f aca="false">"Room reward "&amp;8*($A99-96)+H$1</f>
        <v>Room reward 11</v>
      </c>
      <c r="I99" s="20" t="str">
        <f aca="false">"Room reward "&amp;8*($A99-96)+I$1</f>
        <v>Room reward 10</v>
      </c>
      <c r="J99" s="20" t="str">
        <f aca="false">"Room reward "&amp;8*($A99-96)+J$1</f>
        <v>Room reward 9</v>
      </c>
      <c r="K99" s="20" t="str">
        <f aca="false">"Room reward "&amp;8*($A99-96)+K$1</f>
        <v>Room reward 8</v>
      </c>
    </row>
    <row r="100" customFormat="false" ht="15" hidden="false" customHeight="false" outlineLevel="0" collapsed="false">
      <c r="A100" s="10" t="n">
        <f aca="false">A99+1</f>
        <v>98</v>
      </c>
      <c r="B100" s="11" t="str">
        <f aca="false">com.sun.star.sheet.addin.Analysis.getDec2Hex(2560+A100)</f>
        <v>A62</v>
      </c>
      <c r="C100" s="11"/>
      <c r="D100" s="20" t="str">
        <f aca="false">"Room reward "&amp;8*($A100-96)+D$1</f>
        <v>Room reward 23</v>
      </c>
      <c r="E100" s="20" t="str">
        <f aca="false">"Room reward "&amp;8*($A100-96)+E$1</f>
        <v>Room reward 22</v>
      </c>
      <c r="F100" s="20" t="str">
        <f aca="false">"Room reward "&amp;8*($A100-96)+F$1</f>
        <v>Room reward 21</v>
      </c>
      <c r="G100" s="107" t="str">
        <f aca="false">"Room reward "&amp;8*($A100-96)+G$1</f>
        <v>Room reward 20</v>
      </c>
      <c r="H100" s="106" t="str">
        <f aca="false">"Room reward "&amp;8*($A100-96)+H$1</f>
        <v>Room reward 19</v>
      </c>
      <c r="I100" s="20" t="str">
        <f aca="false">"Room reward "&amp;8*($A100-96)+I$1</f>
        <v>Room reward 18</v>
      </c>
      <c r="J100" s="20" t="str">
        <f aca="false">"Room reward "&amp;8*($A100-96)+J$1</f>
        <v>Room reward 17</v>
      </c>
      <c r="K100" s="20" t="str">
        <f aca="false">"Room reward "&amp;8*($A100-96)+K$1</f>
        <v>Room reward 16</v>
      </c>
    </row>
    <row r="101" customFormat="false" ht="15" hidden="false" customHeight="false" outlineLevel="0" collapsed="false">
      <c r="A101" s="10" t="n">
        <f aca="false">A100+1</f>
        <v>99</v>
      </c>
      <c r="B101" s="11" t="str">
        <f aca="false">com.sun.star.sheet.addin.Analysis.getDec2Hex(2560+A101)</f>
        <v>A63</v>
      </c>
      <c r="C101" s="11"/>
      <c r="D101" s="20" t="str">
        <f aca="false">"Room reward "&amp;8*($A101-96)+D$1</f>
        <v>Room reward 31</v>
      </c>
      <c r="E101" s="20" t="str">
        <f aca="false">"Room reward "&amp;8*($A101-96)+E$1</f>
        <v>Room reward 30</v>
      </c>
      <c r="F101" s="20" t="str">
        <f aca="false">"Room reward "&amp;8*($A101-96)+F$1</f>
        <v>Room reward 29</v>
      </c>
      <c r="G101" s="107" t="str">
        <f aca="false">"Room reward "&amp;8*($A101-96)+G$1</f>
        <v>Room reward 28</v>
      </c>
      <c r="H101" s="106" t="str">
        <f aca="false">"Room reward "&amp;8*($A101-96)+H$1</f>
        <v>Room reward 27</v>
      </c>
      <c r="I101" s="20" t="str">
        <f aca="false">"Room reward "&amp;8*($A101-96)+I$1</f>
        <v>Room reward 26</v>
      </c>
      <c r="J101" s="20" t="str">
        <f aca="false">"Room reward "&amp;8*($A101-96)+J$1</f>
        <v>Room reward 25</v>
      </c>
      <c r="K101" s="20" t="str">
        <f aca="false">"Room reward "&amp;8*($A101-96)+K$1</f>
        <v>Room reward 24</v>
      </c>
    </row>
    <row r="102" customFormat="false" ht="15" hidden="false" customHeight="false" outlineLevel="0" collapsed="false">
      <c r="A102" s="10" t="n">
        <f aca="false">A101+1</f>
        <v>100</v>
      </c>
      <c r="B102" s="11" t="str">
        <f aca="false">com.sun.star.sheet.addin.Analysis.getDec2Hex(2560+A102)</f>
        <v>A64</v>
      </c>
      <c r="C102" s="11"/>
      <c r="D102" s="20" t="str">
        <f aca="false">"Room reward "&amp;8*($A102-96)+D$1</f>
        <v>Room reward 39</v>
      </c>
      <c r="E102" s="20" t="str">
        <f aca="false">"Room reward "&amp;8*($A102-96)+E$1</f>
        <v>Room reward 38</v>
      </c>
      <c r="F102" s="20" t="str">
        <f aca="false">"Room reward "&amp;8*($A102-96)+F$1</f>
        <v>Room reward 37</v>
      </c>
      <c r="G102" s="107" t="str">
        <f aca="false">"Room reward "&amp;8*($A102-96)+G$1</f>
        <v>Room reward 36</v>
      </c>
      <c r="H102" s="106" t="str">
        <f aca="false">"Room reward "&amp;8*($A102-96)+H$1</f>
        <v>Room reward 35</v>
      </c>
      <c r="I102" s="20" t="str">
        <f aca="false">"Room reward "&amp;8*($A102-96)+I$1</f>
        <v>Room reward 34</v>
      </c>
      <c r="J102" s="20" t="str">
        <f aca="false">"Room reward "&amp;8*($A102-96)+J$1</f>
        <v>Room reward 33</v>
      </c>
      <c r="K102" s="20" t="str">
        <f aca="false">"Room reward "&amp;8*($A102-96)+K$1</f>
        <v>Room reward 32</v>
      </c>
    </row>
    <row r="103" customFormat="false" ht="15" hidden="false" customHeight="false" outlineLevel="0" collapsed="false">
      <c r="A103" s="10" t="n">
        <f aca="false">A102+1</f>
        <v>101</v>
      </c>
      <c r="B103" s="11" t="str">
        <f aca="false">com.sun.star.sheet.addin.Analysis.getDec2Hex(2560+A103)</f>
        <v>A65</v>
      </c>
      <c r="C103" s="11"/>
      <c r="D103" s="20" t="str">
        <f aca="false">"Room reward "&amp;8*($A103-96)+D$1</f>
        <v>Room reward 47</v>
      </c>
      <c r="E103" s="20" t="str">
        <f aca="false">"Room reward "&amp;8*($A103-96)+E$1</f>
        <v>Room reward 46</v>
      </c>
      <c r="F103" s="20" t="str">
        <f aca="false">"Room reward "&amp;8*($A103-96)+F$1</f>
        <v>Room reward 45</v>
      </c>
      <c r="G103" s="107" t="str">
        <f aca="false">"Room reward "&amp;8*($A103-96)+G$1</f>
        <v>Room reward 44</v>
      </c>
      <c r="H103" s="106" t="str">
        <f aca="false">"Room reward "&amp;8*($A103-96)+H$1</f>
        <v>Room reward 43</v>
      </c>
      <c r="I103" s="20" t="str">
        <f aca="false">"Room reward "&amp;8*($A103-96)+I$1</f>
        <v>Room reward 42</v>
      </c>
      <c r="J103" s="20" t="str">
        <f aca="false">"Room reward "&amp;8*($A103-96)+J$1</f>
        <v>Room reward 41</v>
      </c>
      <c r="K103" s="20" t="str">
        <f aca="false">"Room reward "&amp;8*($A103-96)+K$1</f>
        <v>Room reward 40</v>
      </c>
    </row>
    <row r="104" customFormat="false" ht="15" hidden="false" customHeight="false" outlineLevel="0" collapsed="false">
      <c r="A104" s="10" t="n">
        <f aca="false">A103+1</f>
        <v>102</v>
      </c>
      <c r="B104" s="11" t="str">
        <f aca="false">com.sun.star.sheet.addin.Analysis.getDec2Hex(2560+A104)</f>
        <v>A66</v>
      </c>
      <c r="C104" s="11"/>
      <c r="D104" s="20" t="str">
        <f aca="false">"Room reward "&amp;8*($A104-96)+D$1</f>
        <v>Room reward 55</v>
      </c>
      <c r="E104" s="20" t="str">
        <f aca="false">"Room reward "&amp;8*($A104-96)+E$1</f>
        <v>Room reward 54</v>
      </c>
      <c r="F104" s="20" t="str">
        <f aca="false">"Room reward "&amp;8*($A104-96)+F$1</f>
        <v>Room reward 53</v>
      </c>
      <c r="G104" s="107" t="str">
        <f aca="false">"Room reward "&amp;8*($A104-96)+G$1</f>
        <v>Room reward 52</v>
      </c>
      <c r="H104" s="106" t="str">
        <f aca="false">"Room reward "&amp;8*($A104-96)+H$1</f>
        <v>Room reward 51</v>
      </c>
      <c r="I104" s="20" t="str">
        <f aca="false">"Room reward "&amp;8*($A104-96)+I$1</f>
        <v>Room reward 50</v>
      </c>
      <c r="J104" s="20" t="str">
        <f aca="false">"Room reward "&amp;8*($A104-96)+J$1</f>
        <v>Room reward 49</v>
      </c>
      <c r="K104" s="20" t="str">
        <f aca="false">"Room reward "&amp;8*($A104-96)+K$1</f>
        <v>Room reward 48</v>
      </c>
    </row>
    <row r="105" customFormat="false" ht="15" hidden="false" customHeight="false" outlineLevel="0" collapsed="false">
      <c r="A105" s="10" t="n">
        <f aca="false">A104+1</f>
        <v>103</v>
      </c>
      <c r="B105" s="11" t="str">
        <f aca="false">com.sun.star.sheet.addin.Analysis.getDec2Hex(2560+A105)</f>
        <v>A67</v>
      </c>
      <c r="C105" s="11"/>
      <c r="D105" s="20" t="str">
        <f aca="false">"Room reward "&amp;8*($A105-96)+D$1</f>
        <v>Room reward 63</v>
      </c>
      <c r="E105" s="20" t="str">
        <f aca="false">"Room reward "&amp;8*($A105-96)+E$1</f>
        <v>Room reward 62</v>
      </c>
      <c r="F105" s="20" t="str">
        <f aca="false">"Room reward "&amp;8*($A105-96)+F$1</f>
        <v>Room reward 61</v>
      </c>
      <c r="G105" s="107" t="str">
        <f aca="false">"Room reward "&amp;8*($A105-96)+G$1</f>
        <v>Room reward 60</v>
      </c>
      <c r="H105" s="106" t="str">
        <f aca="false">"Room reward "&amp;8*($A105-96)+H$1</f>
        <v>Room reward 59</v>
      </c>
      <c r="I105" s="20" t="str">
        <f aca="false">"Room reward "&amp;8*($A105-96)+I$1</f>
        <v>Room reward 58</v>
      </c>
      <c r="J105" s="20" t="str">
        <f aca="false">"Room reward "&amp;8*($A105-96)+J$1</f>
        <v>Room reward 57</v>
      </c>
      <c r="K105" s="20" t="str">
        <f aca="false">"Room reward "&amp;8*($A105-96)+K$1</f>
        <v>Room reward 56</v>
      </c>
    </row>
    <row r="106" customFormat="false" ht="15" hidden="false" customHeight="false" outlineLevel="0" collapsed="false">
      <c r="A106" s="10" t="n">
        <f aca="false">A105+1</f>
        <v>104</v>
      </c>
      <c r="B106" s="11" t="str">
        <f aca="false">com.sun.star.sheet.addin.Analysis.getDec2Hex(2560+A106)</f>
        <v>A68</v>
      </c>
      <c r="C106" s="11"/>
      <c r="D106" s="20" t="str">
        <f aca="false">"Room reward "&amp;8*($A106-96)+D$1</f>
        <v>Room reward 71</v>
      </c>
      <c r="E106" s="20" t="str">
        <f aca="false">"Room reward "&amp;8*($A106-96)+E$1</f>
        <v>Room reward 70</v>
      </c>
      <c r="F106" s="20" t="str">
        <f aca="false">"Room reward "&amp;8*($A106-96)+F$1</f>
        <v>Room reward 69</v>
      </c>
      <c r="G106" s="107" t="str">
        <f aca="false">"Room reward "&amp;8*($A106-96)+G$1</f>
        <v>Room reward 68</v>
      </c>
      <c r="H106" s="106" t="str">
        <f aca="false">"Room reward "&amp;8*($A106-96)+H$1</f>
        <v>Room reward 67</v>
      </c>
      <c r="I106" s="20" t="str">
        <f aca="false">"Room reward "&amp;8*($A106-96)+I$1</f>
        <v>Room reward 66</v>
      </c>
      <c r="J106" s="20" t="str">
        <f aca="false">"Room reward "&amp;8*($A106-96)+J$1</f>
        <v>Room reward 65</v>
      </c>
      <c r="K106" s="20" t="str">
        <f aca="false">"Room reward "&amp;8*($A106-96)+K$1</f>
        <v>Room reward 64</v>
      </c>
    </row>
    <row r="107" customFormat="false" ht="15" hidden="false" customHeight="false" outlineLevel="0" collapsed="false">
      <c r="A107" s="10" t="n">
        <f aca="false">A106+1</f>
        <v>105</v>
      </c>
      <c r="B107" s="11" t="str">
        <f aca="false">com.sun.star.sheet.addin.Analysis.getDec2Hex(2560+A107)</f>
        <v>A69</v>
      </c>
      <c r="C107" s="11"/>
      <c r="D107" s="20" t="str">
        <f aca="false">"Room reward "&amp;8*($A107-96)+D$1</f>
        <v>Room reward 79</v>
      </c>
      <c r="E107" s="20" t="str">
        <f aca="false">"Room reward "&amp;8*($A107-96)+E$1</f>
        <v>Room reward 78</v>
      </c>
      <c r="F107" s="20" t="str">
        <f aca="false">"Room reward "&amp;8*($A107-96)+F$1</f>
        <v>Room reward 77</v>
      </c>
      <c r="G107" s="107" t="str">
        <f aca="false">"Room reward "&amp;8*($A107-96)+G$1</f>
        <v>Room reward 76</v>
      </c>
      <c r="H107" s="106" t="str">
        <f aca="false">"Room reward "&amp;8*($A107-96)+H$1</f>
        <v>Room reward 75</v>
      </c>
      <c r="I107" s="20" t="str">
        <f aca="false">"Room reward "&amp;8*($A107-96)+I$1</f>
        <v>Room reward 74</v>
      </c>
      <c r="J107" s="20" t="str">
        <f aca="false">"Room reward "&amp;8*($A107-96)+J$1</f>
        <v>Room reward 73</v>
      </c>
      <c r="K107" s="20" t="str">
        <f aca="false">"Room reward "&amp;8*($A107-96)+K$1</f>
        <v>Room reward 72</v>
      </c>
    </row>
    <row r="108" customFormat="false" ht="15" hidden="false" customHeight="false" outlineLevel="0" collapsed="false">
      <c r="A108" s="10" t="n">
        <f aca="false">A107+1</f>
        <v>106</v>
      </c>
      <c r="B108" s="11" t="str">
        <f aca="false">com.sun.star.sheet.addin.Analysis.getDec2Hex(2560+A108)</f>
        <v>A6A</v>
      </c>
      <c r="C108" s="11"/>
      <c r="D108" s="20" t="str">
        <f aca="false">"Room reward "&amp;8*($A108-96)+D$1</f>
        <v>Room reward 87</v>
      </c>
      <c r="E108" s="20" t="str">
        <f aca="false">"Room reward "&amp;8*($A108-96)+E$1</f>
        <v>Room reward 86</v>
      </c>
      <c r="F108" s="20" t="str">
        <f aca="false">"Room reward "&amp;8*($A108-96)+F$1</f>
        <v>Room reward 85</v>
      </c>
      <c r="G108" s="107" t="str">
        <f aca="false">"Room reward "&amp;8*($A108-96)+G$1</f>
        <v>Room reward 84</v>
      </c>
      <c r="H108" s="106" t="str">
        <f aca="false">"Room reward "&amp;8*($A108-96)+H$1</f>
        <v>Room reward 83</v>
      </c>
      <c r="I108" s="20" t="str">
        <f aca="false">"Room reward "&amp;8*($A108-96)+I$1</f>
        <v>Room reward 82</v>
      </c>
      <c r="J108" s="20" t="str">
        <f aca="false">"Room reward "&amp;8*($A108-96)+J$1</f>
        <v>Room reward 81</v>
      </c>
      <c r="K108" s="20" t="str">
        <f aca="false">"Room reward "&amp;8*($A108-96)+K$1</f>
        <v>Room reward 80</v>
      </c>
    </row>
    <row r="109" customFormat="false" ht="15" hidden="false" customHeight="false" outlineLevel="0" collapsed="false">
      <c r="A109" s="10" t="n">
        <f aca="false">A108+1</f>
        <v>107</v>
      </c>
      <c r="B109" s="11" t="str">
        <f aca="false">com.sun.star.sheet.addin.Analysis.getDec2Hex(2560+A109)</f>
        <v>A6B</v>
      </c>
      <c r="C109" s="11"/>
      <c r="D109" s="20" t="str">
        <f aca="false">"Room reward "&amp;8*($A109-96)+D$1</f>
        <v>Room reward 95</v>
      </c>
      <c r="E109" s="20" t="str">
        <f aca="false">"Room reward "&amp;8*($A109-96)+E$1</f>
        <v>Room reward 94</v>
      </c>
      <c r="F109" s="20" t="str">
        <f aca="false">"Room reward "&amp;8*($A109-96)+F$1</f>
        <v>Room reward 93</v>
      </c>
      <c r="G109" s="107" t="str">
        <f aca="false">"Room reward "&amp;8*($A109-96)+G$1</f>
        <v>Room reward 92</v>
      </c>
      <c r="H109" s="106" t="str">
        <f aca="false">"Room reward "&amp;8*($A109-96)+H$1</f>
        <v>Room reward 91</v>
      </c>
      <c r="I109" s="20" t="str">
        <f aca="false">"Room reward "&amp;8*($A109-96)+I$1</f>
        <v>Room reward 90</v>
      </c>
      <c r="J109" s="20" t="str">
        <f aca="false">"Room reward "&amp;8*($A109-96)+J$1</f>
        <v>Room reward 89</v>
      </c>
      <c r="K109" s="20" t="str">
        <f aca="false">"Room reward "&amp;8*($A109-96)+K$1</f>
        <v>Room reward 88</v>
      </c>
    </row>
    <row r="110" customFormat="false" ht="15" hidden="false" customHeight="false" outlineLevel="0" collapsed="false">
      <c r="A110" s="10" t="n">
        <f aca="false">A109+1</f>
        <v>108</v>
      </c>
      <c r="B110" s="11" t="str">
        <f aca="false">com.sun.star.sheet.addin.Analysis.getDec2Hex(2560+A110)</f>
        <v>A6C</v>
      </c>
      <c r="C110" s="11"/>
      <c r="D110" s="20" t="str">
        <f aca="false">"Room reward "&amp;8*($A110-96)+D$1</f>
        <v>Room reward 103</v>
      </c>
      <c r="E110" s="20" t="str">
        <f aca="false">"Room reward "&amp;8*($A110-96)+E$1</f>
        <v>Room reward 102</v>
      </c>
      <c r="F110" s="20" t="str">
        <f aca="false">"Room reward "&amp;8*($A110-96)+F$1</f>
        <v>Room reward 101</v>
      </c>
      <c r="G110" s="107" t="str">
        <f aca="false">"Room reward "&amp;8*($A110-96)+G$1</f>
        <v>Room reward 100</v>
      </c>
      <c r="H110" s="106" t="str">
        <f aca="false">"Room reward "&amp;8*($A110-96)+H$1</f>
        <v>Room reward 99</v>
      </c>
      <c r="I110" s="20" t="str">
        <f aca="false">"Room reward "&amp;8*($A110-96)+I$1</f>
        <v>Room reward 98</v>
      </c>
      <c r="J110" s="20" t="str">
        <f aca="false">"Room reward "&amp;8*($A110-96)+J$1</f>
        <v>Room reward 97</v>
      </c>
      <c r="K110" s="20" t="str">
        <f aca="false">"Room reward "&amp;8*($A110-96)+K$1</f>
        <v>Room reward 96</v>
      </c>
    </row>
    <row r="111" customFormat="false" ht="15" hidden="false" customHeight="false" outlineLevel="0" collapsed="false">
      <c r="A111" s="10" t="n">
        <f aca="false">A110+1</f>
        <v>109</v>
      </c>
      <c r="B111" s="11" t="str">
        <f aca="false">com.sun.star.sheet.addin.Analysis.getDec2Hex(2560+A111)</f>
        <v>A6D</v>
      </c>
      <c r="C111" s="11"/>
      <c r="D111" s="20" t="str">
        <f aca="false">"Room reward "&amp;8*($A111-96)+D$1</f>
        <v>Room reward 111</v>
      </c>
      <c r="E111" s="20" t="str">
        <f aca="false">"Room reward "&amp;8*($A111-96)+E$1</f>
        <v>Room reward 110</v>
      </c>
      <c r="F111" s="20" t="str">
        <f aca="false">"Room reward "&amp;8*($A111-96)+F$1</f>
        <v>Room reward 109</v>
      </c>
      <c r="G111" s="107" t="str">
        <f aca="false">"Room reward "&amp;8*($A111-96)+G$1</f>
        <v>Room reward 108</v>
      </c>
      <c r="H111" s="106" t="str">
        <f aca="false">"Room reward "&amp;8*($A111-96)+H$1</f>
        <v>Room reward 107</v>
      </c>
      <c r="I111" s="20" t="str">
        <f aca="false">"Room reward "&amp;8*($A111-96)+I$1</f>
        <v>Room reward 106</v>
      </c>
      <c r="J111" s="20" t="str">
        <f aca="false">"Room reward "&amp;8*($A111-96)+J$1</f>
        <v>Room reward 105</v>
      </c>
      <c r="K111" s="20" t="str">
        <f aca="false">"Room reward "&amp;8*($A111-96)+K$1</f>
        <v>Room reward 104</v>
      </c>
    </row>
    <row r="112" customFormat="false" ht="15" hidden="false" customHeight="false" outlineLevel="0" collapsed="false">
      <c r="A112" s="10" t="n">
        <f aca="false">A111+1</f>
        <v>110</v>
      </c>
      <c r="B112" s="11" t="str">
        <f aca="false">com.sun.star.sheet.addin.Analysis.getDec2Hex(2560+A112)</f>
        <v>A6E</v>
      </c>
      <c r="C112" s="11"/>
      <c r="D112" s="20" t="str">
        <f aca="false">"Room reward "&amp;8*($A112-96)+D$1</f>
        <v>Room reward 119</v>
      </c>
      <c r="E112" s="20" t="str">
        <f aca="false">"Room reward "&amp;8*($A112-96)+E$1</f>
        <v>Room reward 118</v>
      </c>
      <c r="F112" s="20" t="str">
        <f aca="false">"Room reward "&amp;8*($A112-96)+F$1</f>
        <v>Room reward 117</v>
      </c>
      <c r="G112" s="107" t="str">
        <f aca="false">"Room reward "&amp;8*($A112-96)+G$1</f>
        <v>Room reward 116</v>
      </c>
      <c r="H112" s="106" t="str">
        <f aca="false">"Room reward "&amp;8*($A112-96)+H$1</f>
        <v>Room reward 115</v>
      </c>
      <c r="I112" s="20" t="str">
        <f aca="false">"Room reward "&amp;8*($A112-96)+I$1</f>
        <v>Room reward 114</v>
      </c>
      <c r="J112" s="20" t="str">
        <f aca="false">"Room reward "&amp;8*($A112-96)+J$1</f>
        <v>Room reward 113</v>
      </c>
      <c r="K112" s="20" t="str">
        <f aca="false">"Room reward "&amp;8*($A112-96)+K$1</f>
        <v>Room reward 112</v>
      </c>
    </row>
    <row r="113" s="62" customFormat="true" ht="15" hidden="false" customHeight="false" outlineLevel="0" collapsed="false">
      <c r="A113" s="54" t="n">
        <f aca="false">A112+1</f>
        <v>111</v>
      </c>
      <c r="B113" s="55" t="str">
        <f aca="false">com.sun.star.sheet.addin.Analysis.getDec2Hex(2560+A113)</f>
        <v>A6F</v>
      </c>
      <c r="C113" s="55"/>
      <c r="D113" s="123" t="str">
        <f aca="false">"Room reward "&amp;8*($A113-96)+D$1</f>
        <v>Room reward 127</v>
      </c>
      <c r="E113" s="123" t="str">
        <f aca="false">"Room reward "&amp;8*($A113-96)+E$1</f>
        <v>Room reward 126</v>
      </c>
      <c r="F113" s="123" t="str">
        <f aca="false">"Room reward "&amp;8*($A113-96)+F$1</f>
        <v>Room reward 125</v>
      </c>
      <c r="G113" s="124" t="str">
        <f aca="false">"Room reward "&amp;8*($A113-96)+G$1</f>
        <v>Room reward 124</v>
      </c>
      <c r="H113" s="125" t="str">
        <f aca="false">"Room reward "&amp;8*($A113-96)+H$1</f>
        <v>Room reward 123</v>
      </c>
      <c r="I113" s="123" t="str">
        <f aca="false">"Room reward "&amp;8*($A113-96)+I$1</f>
        <v>Room reward 122</v>
      </c>
      <c r="J113" s="123" t="str">
        <f aca="false">"Room reward "&amp;8*($A113-96)+J$1</f>
        <v>Room reward 121</v>
      </c>
      <c r="K113" s="123" t="str">
        <f aca="false">"Room reward "&amp;8*($A113-96)+K$1</f>
        <v>Room reward 120</v>
      </c>
      <c r="L113" s="148"/>
      <c r="M113" s="149"/>
      <c r="N113" s="149"/>
    </row>
    <row r="114" customFormat="false" ht="15" hidden="false" customHeight="false" outlineLevel="0" collapsed="false">
      <c r="A114" s="63" t="n">
        <f aca="false">A113+1</f>
        <v>112</v>
      </c>
      <c r="B114" s="64" t="str">
        <f aca="false">com.sun.star.sheet.addin.Analysis.getDec2Hex(2560+A114)</f>
        <v>A70</v>
      </c>
      <c r="C114" s="64"/>
      <c r="D114" s="20" t="str">
        <f aca="false">"Room reward "&amp;8*($A114-96)+D$1</f>
        <v>Room reward 135</v>
      </c>
      <c r="E114" s="20" t="str">
        <f aca="false">"Room reward "&amp;8*($A114-96)+E$1</f>
        <v>Room reward 134</v>
      </c>
      <c r="F114" s="20" t="str">
        <f aca="false">"Room reward "&amp;8*($A114-96)+F$1</f>
        <v>Room reward 133</v>
      </c>
      <c r="G114" s="107" t="str">
        <f aca="false">"Room reward "&amp;8*($A114-96)+G$1</f>
        <v>Room reward 132</v>
      </c>
      <c r="H114" s="106" t="str">
        <f aca="false">"Room reward "&amp;8*($A114-96)+H$1</f>
        <v>Room reward 131</v>
      </c>
      <c r="I114" s="20" t="str">
        <f aca="false">"Room reward "&amp;8*($A114-96)+I$1</f>
        <v>Room reward 130</v>
      </c>
      <c r="J114" s="20" t="str">
        <f aca="false">"Room reward "&amp;8*($A114-96)+J$1</f>
        <v>Room reward 129</v>
      </c>
      <c r="K114" s="20" t="str">
        <f aca="false">"Room reward "&amp;8*($A114-96)+K$1</f>
        <v>Room reward 128</v>
      </c>
    </row>
    <row r="115" customFormat="false" ht="15" hidden="false" customHeight="false" outlineLevel="0" collapsed="false">
      <c r="A115" s="10" t="n">
        <f aca="false">A114+1</f>
        <v>113</v>
      </c>
      <c r="B115" s="11" t="str">
        <f aca="false">com.sun.star.sheet.addin.Analysis.getDec2Hex(2560+A115)</f>
        <v>A71</v>
      </c>
      <c r="C115" s="11"/>
      <c r="D115" s="20" t="str">
        <f aca="false">"Room reward "&amp;8*($A115-96)+D$1</f>
        <v>Room reward 143</v>
      </c>
      <c r="E115" s="20" t="str">
        <f aca="false">"Room reward "&amp;8*($A115-96)+E$1</f>
        <v>Room reward 142</v>
      </c>
      <c r="F115" s="20" t="str">
        <f aca="false">"Room reward "&amp;8*($A115-96)+F$1</f>
        <v>Room reward 141</v>
      </c>
      <c r="G115" s="107" t="str">
        <f aca="false">"Room reward "&amp;8*($A115-96)+G$1</f>
        <v>Room reward 140</v>
      </c>
      <c r="H115" s="106" t="str">
        <f aca="false">"Room reward "&amp;8*($A115-96)+H$1</f>
        <v>Room reward 139</v>
      </c>
      <c r="I115" s="20" t="str">
        <f aca="false">"Room reward "&amp;8*($A115-96)+I$1</f>
        <v>Room reward 138</v>
      </c>
      <c r="J115" s="20" t="str">
        <f aca="false">"Room reward "&amp;8*($A115-96)+J$1</f>
        <v>Room reward 137</v>
      </c>
      <c r="K115" s="20" t="str">
        <f aca="false">"Room reward "&amp;8*($A115-96)+K$1</f>
        <v>Room reward 136</v>
      </c>
    </row>
    <row r="116" customFormat="false" ht="15" hidden="false" customHeight="false" outlineLevel="0" collapsed="false">
      <c r="A116" s="10" t="n">
        <f aca="false">A115+1</f>
        <v>114</v>
      </c>
      <c r="B116" s="11" t="str">
        <f aca="false">com.sun.star.sheet.addin.Analysis.getDec2Hex(2560+A116)</f>
        <v>A72</v>
      </c>
      <c r="C116" s="11"/>
      <c r="D116" s="20" t="str">
        <f aca="false">"Room reward "&amp;8*($A116-96)+D$1</f>
        <v>Room reward 151</v>
      </c>
      <c r="E116" s="20" t="str">
        <f aca="false">"Room reward "&amp;8*($A116-96)+E$1</f>
        <v>Room reward 150</v>
      </c>
      <c r="F116" s="20" t="str">
        <f aca="false">"Room reward "&amp;8*($A116-96)+F$1</f>
        <v>Room reward 149</v>
      </c>
      <c r="G116" s="107" t="str">
        <f aca="false">"Room reward "&amp;8*($A116-96)+G$1</f>
        <v>Room reward 148</v>
      </c>
      <c r="H116" s="106" t="str">
        <f aca="false">"Room reward "&amp;8*($A116-96)+H$1</f>
        <v>Room reward 147</v>
      </c>
      <c r="I116" s="20" t="str">
        <f aca="false">"Room reward "&amp;8*($A116-96)+I$1</f>
        <v>Room reward 146</v>
      </c>
      <c r="J116" s="20" t="str">
        <f aca="false">"Room reward "&amp;8*($A116-96)+J$1</f>
        <v>Room reward 145</v>
      </c>
      <c r="K116" s="20" t="str">
        <f aca="false">"Room reward "&amp;8*($A116-96)+K$1</f>
        <v>Room reward 144</v>
      </c>
    </row>
    <row r="117" customFormat="false" ht="15" hidden="false" customHeight="false" outlineLevel="0" collapsed="false">
      <c r="A117" s="10" t="n">
        <f aca="false">A116+1</f>
        <v>115</v>
      </c>
      <c r="B117" s="11" t="str">
        <f aca="false">com.sun.star.sheet.addin.Analysis.getDec2Hex(2560+A117)</f>
        <v>A73</v>
      </c>
      <c r="C117" s="11"/>
      <c r="D117" s="20" t="str">
        <f aca="false">"Room reward "&amp;8*($A117-96)+D$1</f>
        <v>Room reward 159</v>
      </c>
      <c r="E117" s="20" t="str">
        <f aca="false">"Room reward "&amp;8*($A117-96)+E$1</f>
        <v>Room reward 158</v>
      </c>
      <c r="F117" s="20" t="str">
        <f aca="false">"Room reward "&amp;8*($A117-96)+F$1</f>
        <v>Room reward 157</v>
      </c>
      <c r="G117" s="107" t="str">
        <f aca="false">"Room reward "&amp;8*($A117-96)+G$1</f>
        <v>Room reward 156</v>
      </c>
      <c r="H117" s="106" t="str">
        <f aca="false">"Room reward "&amp;8*($A117-96)+H$1</f>
        <v>Room reward 155</v>
      </c>
      <c r="I117" s="20" t="str">
        <f aca="false">"Room reward "&amp;8*($A117-96)+I$1</f>
        <v>Room reward 154</v>
      </c>
      <c r="J117" s="20" t="str">
        <f aca="false">"Room reward "&amp;8*($A117-96)+J$1</f>
        <v>Room reward 153</v>
      </c>
      <c r="K117" s="20" t="str">
        <f aca="false">"Room reward "&amp;8*($A117-96)+K$1</f>
        <v>Room reward 152</v>
      </c>
    </row>
    <row r="118" customFormat="false" ht="15" hidden="false" customHeight="false" outlineLevel="0" collapsed="false">
      <c r="A118" s="10" t="n">
        <f aca="false">A117+1</f>
        <v>116</v>
      </c>
      <c r="B118" s="11" t="str">
        <f aca="false">com.sun.star.sheet.addin.Analysis.getDec2Hex(2560+A118)</f>
        <v>A74</v>
      </c>
      <c r="C118" s="11"/>
      <c r="D118" s="20" t="str">
        <f aca="false">"Room reward "&amp;8*($A118-96)+D$1</f>
        <v>Room reward 167</v>
      </c>
      <c r="E118" s="20" t="str">
        <f aca="false">"Room reward "&amp;8*($A118-96)+E$1</f>
        <v>Room reward 166</v>
      </c>
      <c r="F118" s="20" t="str">
        <f aca="false">"Room reward "&amp;8*($A118-96)+F$1</f>
        <v>Room reward 165</v>
      </c>
      <c r="G118" s="107" t="str">
        <f aca="false">"Room reward "&amp;8*($A118-96)+G$1</f>
        <v>Room reward 164</v>
      </c>
      <c r="H118" s="106" t="str">
        <f aca="false">"Room reward "&amp;8*($A118-96)+H$1</f>
        <v>Room reward 163</v>
      </c>
      <c r="I118" s="20" t="str">
        <f aca="false">"Room reward "&amp;8*($A118-96)+I$1</f>
        <v>Room reward 162</v>
      </c>
      <c r="J118" s="20" t="str">
        <f aca="false">"Room reward "&amp;8*($A118-96)+J$1</f>
        <v>Room reward 161</v>
      </c>
      <c r="K118" s="20" t="str">
        <f aca="false">"Room reward "&amp;8*($A118-96)+K$1</f>
        <v>Room reward 160</v>
      </c>
    </row>
    <row r="119" customFormat="false" ht="15" hidden="false" customHeight="false" outlineLevel="0" collapsed="false">
      <c r="A119" s="10" t="n">
        <f aca="false">A118+1</f>
        <v>117</v>
      </c>
      <c r="B119" s="11" t="str">
        <f aca="false">com.sun.star.sheet.addin.Analysis.getDec2Hex(2560+A119)</f>
        <v>A75</v>
      </c>
      <c r="C119" s="11"/>
      <c r="D119" s="20" t="str">
        <f aca="false">"Room reward "&amp;8*($A119-96)+D$1</f>
        <v>Room reward 175</v>
      </c>
      <c r="E119" s="20" t="str">
        <f aca="false">"Room reward "&amp;8*($A119-96)+E$1</f>
        <v>Room reward 174</v>
      </c>
      <c r="F119" s="20" t="str">
        <f aca="false">"Room reward "&amp;8*($A119-96)+F$1</f>
        <v>Room reward 173</v>
      </c>
      <c r="G119" s="107" t="str">
        <f aca="false">"Room reward "&amp;8*($A119-96)+G$1</f>
        <v>Room reward 172</v>
      </c>
      <c r="H119" s="106" t="str">
        <f aca="false">"Room reward "&amp;8*($A119-96)+H$1</f>
        <v>Room reward 171</v>
      </c>
      <c r="I119" s="20" t="str">
        <f aca="false">"Room reward "&amp;8*($A119-96)+I$1</f>
        <v>Room reward 170</v>
      </c>
      <c r="J119" s="20" t="str">
        <f aca="false">"Room reward "&amp;8*($A119-96)+J$1</f>
        <v>Room reward 169</v>
      </c>
      <c r="K119" s="20" t="str">
        <f aca="false">"Room reward "&amp;8*($A119-96)+K$1</f>
        <v>Room reward 168</v>
      </c>
    </row>
    <row r="120" customFormat="false" ht="15" hidden="false" customHeight="false" outlineLevel="0" collapsed="false">
      <c r="A120" s="10" t="n">
        <f aca="false">A119+1</f>
        <v>118</v>
      </c>
      <c r="B120" s="11" t="str">
        <f aca="false">com.sun.star.sheet.addin.Analysis.getDec2Hex(2560+A120)</f>
        <v>A76</v>
      </c>
      <c r="C120" s="11"/>
      <c r="D120" s="20" t="str">
        <f aca="false">"Room reward "&amp;8*($A120-96)+D$1</f>
        <v>Room reward 183</v>
      </c>
      <c r="E120" s="20" t="str">
        <f aca="false">"Room reward "&amp;8*($A120-96)+E$1</f>
        <v>Room reward 182</v>
      </c>
      <c r="F120" s="20" t="str">
        <f aca="false">"Room reward "&amp;8*($A120-96)+F$1</f>
        <v>Room reward 181</v>
      </c>
      <c r="G120" s="107" t="str">
        <f aca="false">"Room reward "&amp;8*($A120-96)+G$1</f>
        <v>Room reward 180</v>
      </c>
      <c r="H120" s="106" t="str">
        <f aca="false">"Room reward "&amp;8*($A120-96)+H$1</f>
        <v>Room reward 179</v>
      </c>
      <c r="I120" s="20" t="str">
        <f aca="false">"Room reward "&amp;8*($A120-96)+I$1</f>
        <v>Room reward 178</v>
      </c>
      <c r="J120" s="20" t="str">
        <f aca="false">"Room reward "&amp;8*($A120-96)+J$1</f>
        <v>Room reward 177</v>
      </c>
      <c r="K120" s="20" t="str">
        <f aca="false">"Room reward "&amp;8*($A120-96)+K$1</f>
        <v>Room reward 176</v>
      </c>
    </row>
    <row r="121" customFormat="false" ht="15" hidden="false" customHeight="false" outlineLevel="0" collapsed="false">
      <c r="A121" s="10" t="n">
        <f aca="false">A120+1</f>
        <v>119</v>
      </c>
      <c r="B121" s="11" t="str">
        <f aca="false">com.sun.star.sheet.addin.Analysis.getDec2Hex(2560+A121)</f>
        <v>A77</v>
      </c>
      <c r="C121" s="11"/>
      <c r="D121" s="20" t="str">
        <f aca="false">"Room reward "&amp;8*($A121-96)+D$1</f>
        <v>Room reward 191</v>
      </c>
      <c r="E121" s="20" t="str">
        <f aca="false">"Room reward "&amp;8*($A121-96)+E$1</f>
        <v>Room reward 190</v>
      </c>
      <c r="F121" s="20" t="str">
        <f aca="false">"Room reward "&amp;8*($A121-96)+F$1</f>
        <v>Room reward 189</v>
      </c>
      <c r="G121" s="107" t="str">
        <f aca="false">"Room reward "&amp;8*($A121-96)+G$1</f>
        <v>Room reward 188</v>
      </c>
      <c r="H121" s="106" t="str">
        <f aca="false">"Room reward "&amp;8*($A121-96)+H$1</f>
        <v>Room reward 187</v>
      </c>
      <c r="I121" s="20" t="str">
        <f aca="false">"Room reward "&amp;8*($A121-96)+I$1</f>
        <v>Room reward 186</v>
      </c>
      <c r="J121" s="20" t="str">
        <f aca="false">"Room reward "&amp;8*($A121-96)+J$1</f>
        <v>Room reward 185</v>
      </c>
      <c r="K121" s="20" t="str">
        <f aca="false">"Room reward "&amp;8*($A121-96)+K$1</f>
        <v>Room reward 184</v>
      </c>
    </row>
    <row r="122" customFormat="false" ht="15" hidden="false" customHeight="false" outlineLevel="0" collapsed="false">
      <c r="A122" s="10" t="n">
        <f aca="false">A121+1</f>
        <v>120</v>
      </c>
      <c r="B122" s="11" t="str">
        <f aca="false">com.sun.star.sheet.addin.Analysis.getDec2Hex(2560+A122)</f>
        <v>A78</v>
      </c>
      <c r="C122" s="11"/>
      <c r="D122" s="20" t="str">
        <f aca="false">"Room reward "&amp;8*($A122-96)+D$1</f>
        <v>Room reward 199</v>
      </c>
      <c r="E122" s="20" t="str">
        <f aca="false">"Room reward "&amp;8*($A122-96)+E$1</f>
        <v>Room reward 198</v>
      </c>
      <c r="F122" s="20" t="str">
        <f aca="false">"Room reward "&amp;8*($A122-96)+F$1</f>
        <v>Room reward 197</v>
      </c>
      <c r="G122" s="107" t="str">
        <f aca="false">"Room reward "&amp;8*($A122-96)+G$1</f>
        <v>Room reward 196</v>
      </c>
      <c r="H122" s="106" t="str">
        <f aca="false">"Room reward "&amp;8*($A122-96)+H$1</f>
        <v>Room reward 195</v>
      </c>
      <c r="I122" s="20" t="str">
        <f aca="false">"Room reward "&amp;8*($A122-96)+I$1</f>
        <v>Room reward 194</v>
      </c>
      <c r="J122" s="20" t="str">
        <f aca="false">"Room reward "&amp;8*($A122-96)+J$1</f>
        <v>Room reward 193</v>
      </c>
      <c r="K122" s="20" t="str">
        <f aca="false">"Room reward "&amp;8*($A122-96)+K$1</f>
        <v>Room reward 192</v>
      </c>
    </row>
    <row r="123" customFormat="false" ht="15" hidden="false" customHeight="false" outlineLevel="0" collapsed="false">
      <c r="A123" s="10" t="n">
        <f aca="false">A122+1</f>
        <v>121</v>
      </c>
      <c r="B123" s="11" t="str">
        <f aca="false">com.sun.star.sheet.addin.Analysis.getDec2Hex(2560+A123)</f>
        <v>A79</v>
      </c>
      <c r="C123" s="11"/>
      <c r="D123" s="20" t="str">
        <f aca="false">"Room reward "&amp;8*($A123-96)+D$1</f>
        <v>Room reward 207</v>
      </c>
      <c r="E123" s="20" t="str">
        <f aca="false">"Room reward "&amp;8*($A123-96)+E$1</f>
        <v>Room reward 206</v>
      </c>
      <c r="F123" s="20" t="str">
        <f aca="false">"Room reward "&amp;8*($A123-96)+F$1</f>
        <v>Room reward 205</v>
      </c>
      <c r="G123" s="107" t="str">
        <f aca="false">"Room reward "&amp;8*($A123-96)+G$1</f>
        <v>Room reward 204</v>
      </c>
      <c r="H123" s="106" t="str">
        <f aca="false">"Room reward "&amp;8*($A123-96)+H$1</f>
        <v>Room reward 203</v>
      </c>
      <c r="I123" s="20" t="str">
        <f aca="false">"Room reward "&amp;8*($A123-96)+I$1</f>
        <v>Room reward 202</v>
      </c>
      <c r="J123" s="20" t="str">
        <f aca="false">"Room reward "&amp;8*($A123-96)+J$1</f>
        <v>Room reward 201</v>
      </c>
      <c r="K123" s="20" t="str">
        <f aca="false">"Room reward "&amp;8*($A123-96)+K$1</f>
        <v>Room reward 200</v>
      </c>
    </row>
    <row r="124" customFormat="false" ht="15" hidden="false" customHeight="false" outlineLevel="0" collapsed="false">
      <c r="A124" s="10" t="n">
        <f aca="false">A123+1</f>
        <v>122</v>
      </c>
      <c r="B124" s="11" t="str">
        <f aca="false">com.sun.star.sheet.addin.Analysis.getDec2Hex(2560+A124)</f>
        <v>A7A</v>
      </c>
      <c r="C124" s="11"/>
      <c r="D124" s="20" t="str">
        <f aca="false">"Room reward "&amp;8*($A124-96)+D$1</f>
        <v>Room reward 215</v>
      </c>
      <c r="E124" s="20" t="str">
        <f aca="false">"Room reward "&amp;8*($A124-96)+E$1</f>
        <v>Room reward 214</v>
      </c>
      <c r="F124" s="20" t="str">
        <f aca="false">"Room reward "&amp;8*($A124-96)+F$1</f>
        <v>Room reward 213</v>
      </c>
      <c r="G124" s="107" t="str">
        <f aca="false">"Room reward "&amp;8*($A124-96)+G$1</f>
        <v>Room reward 212</v>
      </c>
      <c r="H124" s="106" t="str">
        <f aca="false">"Room reward "&amp;8*($A124-96)+H$1</f>
        <v>Room reward 211</v>
      </c>
      <c r="I124" s="20" t="str">
        <f aca="false">"Room reward "&amp;8*($A124-96)+I$1</f>
        <v>Room reward 210</v>
      </c>
      <c r="J124" s="20" t="str">
        <f aca="false">"Room reward "&amp;8*($A124-96)+J$1</f>
        <v>Room reward 209</v>
      </c>
      <c r="K124" s="20" t="str">
        <f aca="false">"Room reward "&amp;8*($A124-96)+K$1</f>
        <v>Room reward 208</v>
      </c>
    </row>
    <row r="125" customFormat="false" ht="15" hidden="false" customHeight="false" outlineLevel="0" collapsed="false">
      <c r="A125" s="10" t="n">
        <f aca="false">A124+1</f>
        <v>123</v>
      </c>
      <c r="B125" s="11" t="str">
        <f aca="false">com.sun.star.sheet.addin.Analysis.getDec2Hex(2560+A125)</f>
        <v>A7B</v>
      </c>
      <c r="C125" s="11"/>
      <c r="D125" s="20" t="str">
        <f aca="false">"Room reward "&amp;8*($A125-96)+D$1</f>
        <v>Room reward 223</v>
      </c>
      <c r="E125" s="20" t="str">
        <f aca="false">"Room reward "&amp;8*($A125-96)+E$1</f>
        <v>Room reward 222</v>
      </c>
      <c r="F125" s="20" t="str">
        <f aca="false">"Room reward "&amp;8*($A125-96)+F$1</f>
        <v>Room reward 221</v>
      </c>
      <c r="G125" s="107" t="str">
        <f aca="false">"Room reward "&amp;8*($A125-96)+G$1</f>
        <v>Room reward 220</v>
      </c>
      <c r="H125" s="106" t="str">
        <f aca="false">"Room reward "&amp;8*($A125-96)+H$1</f>
        <v>Room reward 219</v>
      </c>
      <c r="I125" s="20" t="str">
        <f aca="false">"Room reward "&amp;8*($A125-96)+I$1</f>
        <v>Room reward 218</v>
      </c>
      <c r="J125" s="20" t="str">
        <f aca="false">"Room reward "&amp;8*($A125-96)+J$1</f>
        <v>Room reward 217</v>
      </c>
      <c r="K125" s="20" t="str">
        <f aca="false">"Room reward "&amp;8*($A125-96)+K$1</f>
        <v>Room reward 216</v>
      </c>
    </row>
    <row r="126" customFormat="false" ht="15" hidden="false" customHeight="false" outlineLevel="0" collapsed="false">
      <c r="A126" s="10" t="n">
        <f aca="false">A125+1</f>
        <v>124</v>
      </c>
      <c r="B126" s="11" t="str">
        <f aca="false">com.sun.star.sheet.addin.Analysis.getDec2Hex(2560+A126)</f>
        <v>A7C</v>
      </c>
      <c r="C126" s="11"/>
      <c r="D126" s="20" t="str">
        <f aca="false">"Room reward "&amp;8*($A126-96)+D$1</f>
        <v>Room reward 231</v>
      </c>
      <c r="E126" s="20" t="str">
        <f aca="false">"Room reward "&amp;8*($A126-96)+E$1</f>
        <v>Room reward 230</v>
      </c>
      <c r="F126" s="20" t="str">
        <f aca="false">"Room reward "&amp;8*($A126-96)+F$1</f>
        <v>Room reward 229</v>
      </c>
      <c r="G126" s="107" t="str">
        <f aca="false">"Room reward "&amp;8*($A126-96)+G$1</f>
        <v>Room reward 228</v>
      </c>
      <c r="H126" s="106" t="str">
        <f aca="false">"Room reward "&amp;8*($A126-96)+H$1</f>
        <v>Room reward 227</v>
      </c>
      <c r="I126" s="20" t="str">
        <f aca="false">"Room reward "&amp;8*($A126-96)+I$1</f>
        <v>Room reward 226</v>
      </c>
      <c r="J126" s="20" t="str">
        <f aca="false">"Room reward "&amp;8*($A126-96)+J$1</f>
        <v>Room reward 225</v>
      </c>
      <c r="K126" s="20" t="str">
        <f aca="false">"Room reward "&amp;8*($A126-96)+K$1</f>
        <v>Room reward 224</v>
      </c>
    </row>
    <row r="127" customFormat="false" ht="15" hidden="false" customHeight="false" outlineLevel="0" collapsed="false">
      <c r="A127" s="10" t="n">
        <f aca="false">A126+1</f>
        <v>125</v>
      </c>
      <c r="B127" s="11" t="str">
        <f aca="false">com.sun.star.sheet.addin.Analysis.getDec2Hex(2560+A127)</f>
        <v>A7D</v>
      </c>
      <c r="C127" s="11"/>
      <c r="D127" s="20" t="str">
        <f aca="false">"Room reward "&amp;8*($A127-96)+D$1</f>
        <v>Room reward 239</v>
      </c>
      <c r="E127" s="20" t="str">
        <f aca="false">"Room reward "&amp;8*($A127-96)+E$1</f>
        <v>Room reward 238</v>
      </c>
      <c r="F127" s="20" t="str">
        <f aca="false">"Room reward "&amp;8*($A127-96)+F$1</f>
        <v>Room reward 237</v>
      </c>
      <c r="G127" s="107" t="str">
        <f aca="false">"Room reward "&amp;8*($A127-96)+G$1</f>
        <v>Room reward 236</v>
      </c>
      <c r="H127" s="106" t="str">
        <f aca="false">"Room reward "&amp;8*($A127-96)+H$1</f>
        <v>Room reward 235</v>
      </c>
      <c r="I127" s="20" t="str">
        <f aca="false">"Room reward "&amp;8*($A127-96)+I$1</f>
        <v>Room reward 234</v>
      </c>
      <c r="J127" s="20" t="str">
        <f aca="false">"Room reward "&amp;8*($A127-96)+J$1</f>
        <v>Room reward 233</v>
      </c>
      <c r="K127" s="20" t="str">
        <f aca="false">"Room reward "&amp;8*($A127-96)+K$1</f>
        <v>Room reward 232</v>
      </c>
    </row>
    <row r="128" customFormat="false" ht="15" hidden="false" customHeight="false" outlineLevel="0" collapsed="false">
      <c r="A128" s="10" t="n">
        <f aca="false">A127+1</f>
        <v>126</v>
      </c>
      <c r="B128" s="11" t="str">
        <f aca="false">com.sun.star.sheet.addin.Analysis.getDec2Hex(2560+A128)</f>
        <v>A7E</v>
      </c>
      <c r="C128" s="11"/>
      <c r="D128" s="20" t="str">
        <f aca="false">"Room reward "&amp;8*($A128-96)+D$1</f>
        <v>Room reward 247</v>
      </c>
      <c r="E128" s="20" t="str">
        <f aca="false">"Room reward "&amp;8*($A128-96)+E$1</f>
        <v>Room reward 246</v>
      </c>
      <c r="F128" s="20" t="str">
        <f aca="false">"Room reward "&amp;8*($A128-96)+F$1</f>
        <v>Room reward 245</v>
      </c>
      <c r="G128" s="107" t="str">
        <f aca="false">"Room reward "&amp;8*($A128-96)+G$1</f>
        <v>Room reward 244</v>
      </c>
      <c r="H128" s="106" t="str">
        <f aca="false">"Room reward "&amp;8*($A128-96)+H$1</f>
        <v>Room reward 243</v>
      </c>
      <c r="I128" s="20" t="str">
        <f aca="false">"Room reward "&amp;8*($A128-96)+I$1</f>
        <v>Room reward 242</v>
      </c>
      <c r="J128" s="20" t="str">
        <f aca="false">"Room reward "&amp;8*($A128-96)+J$1</f>
        <v>Room reward 241</v>
      </c>
      <c r="K128" s="20" t="str">
        <f aca="false">"Room reward "&amp;8*($A128-96)+K$1</f>
        <v>Room reward 240</v>
      </c>
    </row>
    <row r="129" s="62" customFormat="true" ht="15" hidden="false" customHeight="false" outlineLevel="0" collapsed="false">
      <c r="A129" s="54" t="n">
        <f aca="false">A128+1</f>
        <v>127</v>
      </c>
      <c r="B129" s="55" t="str">
        <f aca="false">com.sun.star.sheet.addin.Analysis.getDec2Hex(2560+A129)</f>
        <v>A7F</v>
      </c>
      <c r="C129" s="55"/>
      <c r="D129" s="123" t="str">
        <f aca="false">"Room reward "&amp;8*($A129-96)+D$1</f>
        <v>Room reward 255</v>
      </c>
      <c r="E129" s="123" t="str">
        <f aca="false">"Room reward "&amp;8*($A129-96)+E$1</f>
        <v>Room reward 254</v>
      </c>
      <c r="F129" s="123" t="str">
        <f aca="false">"Room reward "&amp;8*($A129-96)+F$1</f>
        <v>Room reward 253</v>
      </c>
      <c r="G129" s="124" t="str">
        <f aca="false">"Room reward "&amp;8*($A129-96)+G$1</f>
        <v>Room reward 252</v>
      </c>
      <c r="H129" s="125" t="str">
        <f aca="false">"Room reward "&amp;8*($A129-96)+H$1</f>
        <v>Room reward 251</v>
      </c>
      <c r="I129" s="123" t="str">
        <f aca="false">"Room reward "&amp;8*($A129-96)+I$1</f>
        <v>Room reward 250</v>
      </c>
      <c r="J129" s="123" t="str">
        <f aca="false">"Room reward "&amp;8*($A129-96)+J$1</f>
        <v>Room reward 249</v>
      </c>
      <c r="K129" s="123" t="str">
        <f aca="false">"Room reward "&amp;8*($A129-96)+K$1</f>
        <v>Room reward 248</v>
      </c>
      <c r="L129" s="148"/>
      <c r="M129" s="149"/>
      <c r="N129" s="149"/>
    </row>
    <row r="130" customFormat="false" ht="15" hidden="false" customHeight="false" outlineLevel="0" collapsed="false">
      <c r="A130" s="63" t="n">
        <f aca="false">A129+1</f>
        <v>128</v>
      </c>
      <c r="B130" s="64" t="str">
        <f aca="false">com.sun.star.sheet.addin.Analysis.getDec2Hex(2560+A130)</f>
        <v>A80</v>
      </c>
      <c r="C130" s="64"/>
      <c r="D130" s="109" t="str">
        <f aca="false">"Defeated enemy "&amp;8*($A130-128)+D$1</f>
        <v>Defeated enemy 7</v>
      </c>
      <c r="E130" s="109" t="str">
        <f aca="false">"Defeated enemy "&amp;8*($A130-128)+E$1</f>
        <v>Defeated enemy 6</v>
      </c>
      <c r="F130" s="109" t="str">
        <f aca="false">"Defeated enemy "&amp;8*($A130-128)+F$1</f>
        <v>Defeated enemy 5</v>
      </c>
      <c r="G130" s="109" t="str">
        <f aca="false">"Defeated enemy "&amp;8*($A130-128)+G$1</f>
        <v>Defeated enemy 4</v>
      </c>
      <c r="H130" s="108" t="str">
        <f aca="false">"Defeated enemy "&amp;8*($A130-128)+H$1</f>
        <v>Defeated enemy 3</v>
      </c>
      <c r="I130" s="109" t="str">
        <f aca="false">"Defeated enemy "&amp;8*($A130-128)+I$1</f>
        <v>Defeated enemy 2</v>
      </c>
      <c r="J130" s="109" t="str">
        <f aca="false">"Defeated enemy "&amp;8*($A130-128)+J$1</f>
        <v>Defeated enemy 1</v>
      </c>
      <c r="K130" s="109" t="str">
        <f aca="false">"Defeated enemy "&amp;8*($A130-128)+K$1</f>
        <v>Defeated enemy 0</v>
      </c>
      <c r="M130" s="1" t="s">
        <v>558</v>
      </c>
    </row>
    <row r="131" customFormat="false" ht="15" hidden="false" customHeight="false" outlineLevel="0" collapsed="false">
      <c r="A131" s="10" t="n">
        <f aca="false">A130+1</f>
        <v>129</v>
      </c>
      <c r="B131" s="11" t="str">
        <f aca="false">com.sun.star.sheet.addin.Analysis.getDec2Hex(2560+A131)</f>
        <v>A81</v>
      </c>
      <c r="C131" s="11"/>
      <c r="D131" s="109" t="str">
        <f aca="false">"Defeated enemy "&amp;8*($A131-128)+D$1</f>
        <v>Defeated enemy 15</v>
      </c>
      <c r="E131" s="109" t="str">
        <f aca="false">"Defeated enemy "&amp;8*($A131-128)+E$1</f>
        <v>Defeated enemy 14</v>
      </c>
      <c r="F131" s="109" t="str">
        <f aca="false">"Defeated enemy "&amp;8*($A131-128)+F$1</f>
        <v>Defeated enemy 13</v>
      </c>
      <c r="G131" s="109" t="str">
        <f aca="false">"Defeated enemy "&amp;8*($A131-128)+G$1</f>
        <v>Defeated enemy 12</v>
      </c>
      <c r="H131" s="108" t="str">
        <f aca="false">"Defeated enemy "&amp;8*($A131-128)+H$1</f>
        <v>Defeated enemy 11</v>
      </c>
      <c r="I131" s="109" t="str">
        <f aca="false">"Defeated enemy "&amp;8*($A131-128)+I$1</f>
        <v>Defeated enemy 10</v>
      </c>
      <c r="J131" s="109" t="str">
        <f aca="false">"Defeated enemy "&amp;8*($A131-128)+J$1</f>
        <v>Defeated enemy 9</v>
      </c>
      <c r="K131" s="109" t="str">
        <f aca="false">"Defeated enemy "&amp;8*($A131-128)+K$1</f>
        <v>Defeated enemy 8</v>
      </c>
    </row>
    <row r="132" customFormat="false" ht="15" hidden="false" customHeight="false" outlineLevel="0" collapsed="false">
      <c r="A132" s="10" t="n">
        <f aca="false">A131+1</f>
        <v>130</v>
      </c>
      <c r="B132" s="11" t="str">
        <f aca="false">com.sun.star.sheet.addin.Analysis.getDec2Hex(2560+A132)</f>
        <v>A82</v>
      </c>
      <c r="C132" s="11"/>
      <c r="D132" s="109" t="str">
        <f aca="false">"Defeated enemy "&amp;8*($A132-128)+D$1</f>
        <v>Defeated enemy 23</v>
      </c>
      <c r="E132" s="109" t="str">
        <f aca="false">"Defeated enemy "&amp;8*($A132-128)+E$1</f>
        <v>Defeated enemy 22</v>
      </c>
      <c r="F132" s="109" t="str">
        <f aca="false">"Defeated enemy "&amp;8*($A132-128)+F$1</f>
        <v>Defeated enemy 21</v>
      </c>
      <c r="G132" s="109" t="str">
        <f aca="false">"Defeated enemy "&amp;8*($A132-128)+G$1</f>
        <v>Defeated enemy 20</v>
      </c>
      <c r="H132" s="108" t="str">
        <f aca="false">"Defeated enemy "&amp;8*($A132-128)+H$1</f>
        <v>Defeated enemy 19</v>
      </c>
      <c r="I132" s="109" t="str">
        <f aca="false">"Defeated enemy "&amp;8*($A132-128)+I$1</f>
        <v>Defeated enemy 18</v>
      </c>
      <c r="J132" s="109" t="str">
        <f aca="false">"Defeated enemy "&amp;8*($A132-128)+J$1</f>
        <v>Defeated enemy 17</v>
      </c>
      <c r="K132" s="109" t="str">
        <f aca="false">"Defeated enemy "&amp;8*($A132-128)+K$1</f>
        <v>Defeated enemy 16</v>
      </c>
    </row>
    <row r="133" customFormat="false" ht="15" hidden="false" customHeight="false" outlineLevel="0" collapsed="false">
      <c r="A133" s="10" t="n">
        <f aca="false">A132+1</f>
        <v>131</v>
      </c>
      <c r="B133" s="11" t="str">
        <f aca="false">com.sun.star.sheet.addin.Analysis.getDec2Hex(2560+A133)</f>
        <v>A83</v>
      </c>
      <c r="C133" s="11"/>
      <c r="D133" s="109" t="str">
        <f aca="false">"Defeated enemy "&amp;8*($A133-128)+D$1</f>
        <v>Defeated enemy 31</v>
      </c>
      <c r="E133" s="109" t="str">
        <f aca="false">"Defeated enemy "&amp;8*($A133-128)+E$1</f>
        <v>Defeated enemy 30</v>
      </c>
      <c r="F133" s="109" t="str">
        <f aca="false">"Defeated enemy "&amp;8*($A133-128)+F$1</f>
        <v>Defeated enemy 29</v>
      </c>
      <c r="G133" s="109" t="str">
        <f aca="false">"Defeated enemy "&amp;8*($A133-128)+G$1</f>
        <v>Defeated enemy 28</v>
      </c>
      <c r="H133" s="108" t="str">
        <f aca="false">"Defeated enemy "&amp;8*($A133-128)+H$1</f>
        <v>Defeated enemy 27</v>
      </c>
      <c r="I133" s="109" t="str">
        <f aca="false">"Defeated enemy "&amp;8*($A133-128)+I$1</f>
        <v>Defeated enemy 26</v>
      </c>
      <c r="J133" s="109" t="str">
        <f aca="false">"Defeated enemy "&amp;8*($A133-128)+J$1</f>
        <v>Defeated enemy 25</v>
      </c>
      <c r="K133" s="109" t="str">
        <f aca="false">"Defeated enemy "&amp;8*($A133-128)+K$1</f>
        <v>Defeated enemy 24</v>
      </c>
    </row>
    <row r="134" customFormat="false" ht="15" hidden="false" customHeight="false" outlineLevel="0" collapsed="false">
      <c r="A134" s="10" t="n">
        <f aca="false">A133+1</f>
        <v>132</v>
      </c>
      <c r="B134" s="11" t="str">
        <f aca="false">com.sun.star.sheet.addin.Analysis.getDec2Hex(2560+A134)</f>
        <v>A84</v>
      </c>
      <c r="C134" s="11"/>
      <c r="D134" s="109" t="str">
        <f aca="false">"Defeated enemy "&amp;8*($A134-128)+D$1</f>
        <v>Defeated enemy 39</v>
      </c>
      <c r="E134" s="109" t="str">
        <f aca="false">"Defeated enemy "&amp;8*($A134-128)+E$1</f>
        <v>Defeated enemy 38</v>
      </c>
      <c r="F134" s="109" t="str">
        <f aca="false">"Defeated enemy "&amp;8*($A134-128)+F$1</f>
        <v>Defeated enemy 37</v>
      </c>
      <c r="G134" s="109" t="str">
        <f aca="false">"Defeated enemy "&amp;8*($A134-128)+G$1</f>
        <v>Defeated enemy 36</v>
      </c>
      <c r="H134" s="108" t="str">
        <f aca="false">"Defeated enemy "&amp;8*($A134-128)+H$1</f>
        <v>Defeated enemy 35</v>
      </c>
      <c r="I134" s="109" t="str">
        <f aca="false">"Defeated enemy "&amp;8*($A134-128)+I$1</f>
        <v>Defeated enemy 34</v>
      </c>
      <c r="J134" s="109" t="str">
        <f aca="false">"Defeated enemy "&amp;8*($A134-128)+J$1</f>
        <v>Defeated enemy 33</v>
      </c>
      <c r="K134" s="109" t="str">
        <f aca="false">"Defeated enemy "&amp;8*($A134-128)+K$1</f>
        <v>Defeated enemy 32</v>
      </c>
    </row>
    <row r="135" customFormat="false" ht="15" hidden="false" customHeight="false" outlineLevel="0" collapsed="false">
      <c r="A135" s="10" t="n">
        <f aca="false">A134+1</f>
        <v>133</v>
      </c>
      <c r="B135" s="11" t="str">
        <f aca="false">com.sun.star.sheet.addin.Analysis.getDec2Hex(2560+A135)</f>
        <v>A85</v>
      </c>
      <c r="C135" s="11"/>
      <c r="D135" s="109" t="str">
        <f aca="false">"Defeated enemy "&amp;8*($A135-128)+D$1</f>
        <v>Defeated enemy 47</v>
      </c>
      <c r="E135" s="109" t="str">
        <f aca="false">"Defeated enemy "&amp;8*($A135-128)+E$1</f>
        <v>Defeated enemy 46</v>
      </c>
      <c r="F135" s="109" t="str">
        <f aca="false">"Defeated enemy "&amp;8*($A135-128)+F$1</f>
        <v>Defeated enemy 45</v>
      </c>
      <c r="G135" s="109" t="str">
        <f aca="false">"Defeated enemy "&amp;8*($A135-128)+G$1</f>
        <v>Defeated enemy 44</v>
      </c>
      <c r="H135" s="108" t="str">
        <f aca="false">"Defeated enemy "&amp;8*($A135-128)+H$1</f>
        <v>Defeated enemy 43</v>
      </c>
      <c r="I135" s="109" t="str">
        <f aca="false">"Defeated enemy "&amp;8*($A135-128)+I$1</f>
        <v>Defeated enemy 42</v>
      </c>
      <c r="J135" s="109" t="str">
        <f aca="false">"Defeated enemy "&amp;8*($A135-128)+J$1</f>
        <v>Defeated enemy 41</v>
      </c>
      <c r="K135" s="109" t="str">
        <f aca="false">"Defeated enemy "&amp;8*($A135-128)+K$1</f>
        <v>Defeated enemy 40</v>
      </c>
    </row>
    <row r="136" customFormat="false" ht="15" hidden="false" customHeight="false" outlineLevel="0" collapsed="false">
      <c r="A136" s="10" t="n">
        <f aca="false">A135+1</f>
        <v>134</v>
      </c>
      <c r="B136" s="11" t="str">
        <f aca="false">com.sun.star.sheet.addin.Analysis.getDec2Hex(2560+A136)</f>
        <v>A86</v>
      </c>
      <c r="C136" s="11"/>
      <c r="D136" s="109" t="str">
        <f aca="false">"Defeated enemy "&amp;8*($A136-128)+D$1</f>
        <v>Defeated enemy 55</v>
      </c>
      <c r="E136" s="109" t="str">
        <f aca="false">"Defeated enemy "&amp;8*($A136-128)+E$1</f>
        <v>Defeated enemy 54</v>
      </c>
      <c r="F136" s="109" t="str">
        <f aca="false">"Defeated enemy "&amp;8*($A136-128)+F$1</f>
        <v>Defeated enemy 53</v>
      </c>
      <c r="G136" s="109" t="str">
        <f aca="false">"Defeated enemy "&amp;8*($A136-128)+G$1</f>
        <v>Defeated enemy 52</v>
      </c>
      <c r="H136" s="108" t="str">
        <f aca="false">"Defeated enemy "&amp;8*($A136-128)+H$1</f>
        <v>Defeated enemy 51</v>
      </c>
      <c r="I136" s="109" t="str">
        <f aca="false">"Defeated enemy "&amp;8*($A136-128)+I$1</f>
        <v>Defeated enemy 50</v>
      </c>
      <c r="J136" s="109" t="str">
        <f aca="false">"Defeated enemy "&amp;8*($A136-128)+J$1</f>
        <v>Defeated enemy 49</v>
      </c>
      <c r="K136" s="109" t="str">
        <f aca="false">"Defeated enemy "&amp;8*($A136-128)+K$1</f>
        <v>Defeated enemy 48</v>
      </c>
    </row>
    <row r="137" customFormat="false" ht="15" hidden="false" customHeight="false" outlineLevel="0" collapsed="false">
      <c r="A137" s="10" t="n">
        <f aca="false">A136+1</f>
        <v>135</v>
      </c>
      <c r="B137" s="11" t="str">
        <f aca="false">com.sun.star.sheet.addin.Analysis.getDec2Hex(2560+A137)</f>
        <v>A87</v>
      </c>
      <c r="C137" s="11"/>
      <c r="D137" s="109" t="str">
        <f aca="false">"Defeated enemy "&amp;8*($A137-128)+D$1</f>
        <v>Defeated enemy 63</v>
      </c>
      <c r="E137" s="109" t="str">
        <f aca="false">"Defeated enemy "&amp;8*($A137-128)+E$1</f>
        <v>Defeated enemy 62</v>
      </c>
      <c r="F137" s="109" t="str">
        <f aca="false">"Defeated enemy "&amp;8*($A137-128)+F$1</f>
        <v>Defeated enemy 61</v>
      </c>
      <c r="G137" s="109" t="str">
        <f aca="false">"Defeated enemy "&amp;8*($A137-128)+G$1</f>
        <v>Defeated enemy 60</v>
      </c>
      <c r="H137" s="108" t="str">
        <f aca="false">"Defeated enemy "&amp;8*($A137-128)+H$1</f>
        <v>Defeated enemy 59</v>
      </c>
      <c r="I137" s="109" t="str">
        <f aca="false">"Defeated enemy "&amp;8*($A137-128)+I$1</f>
        <v>Defeated enemy 58</v>
      </c>
      <c r="J137" s="109" t="str">
        <f aca="false">"Defeated enemy "&amp;8*($A137-128)+J$1</f>
        <v>Defeated enemy 57</v>
      </c>
      <c r="K137" s="109" t="str">
        <f aca="false">"Defeated enemy "&amp;8*($A137-128)+K$1</f>
        <v>Defeated enemy 56</v>
      </c>
    </row>
    <row r="138" customFormat="false" ht="15" hidden="false" customHeight="false" outlineLevel="0" collapsed="false">
      <c r="A138" s="10" t="n">
        <f aca="false">A137+1</f>
        <v>136</v>
      </c>
      <c r="B138" s="11" t="str">
        <f aca="false">com.sun.star.sheet.addin.Analysis.getDec2Hex(2560+A138)</f>
        <v>A88</v>
      </c>
      <c r="C138" s="11"/>
      <c r="D138" s="109" t="str">
        <f aca="false">"Defeated enemy "&amp;8*($A138-128)+D$1</f>
        <v>Defeated enemy 71</v>
      </c>
      <c r="E138" s="109" t="str">
        <f aca="false">"Defeated enemy "&amp;8*($A138-128)+E$1</f>
        <v>Defeated enemy 70</v>
      </c>
      <c r="F138" s="109" t="str">
        <f aca="false">"Defeated enemy "&amp;8*($A138-128)+F$1</f>
        <v>Defeated enemy 69</v>
      </c>
      <c r="G138" s="109" t="str">
        <f aca="false">"Defeated enemy "&amp;8*($A138-128)+G$1</f>
        <v>Defeated enemy 68</v>
      </c>
      <c r="H138" s="108" t="str">
        <f aca="false">"Defeated enemy "&amp;8*($A138-128)+H$1</f>
        <v>Defeated enemy 67</v>
      </c>
      <c r="I138" s="109" t="str">
        <f aca="false">"Defeated enemy "&amp;8*($A138-128)+I$1</f>
        <v>Defeated enemy 66</v>
      </c>
      <c r="J138" s="109" t="str">
        <f aca="false">"Defeated enemy "&amp;8*($A138-128)+J$1</f>
        <v>Defeated enemy 65</v>
      </c>
      <c r="K138" s="109" t="str">
        <f aca="false">"Defeated enemy "&amp;8*($A138-128)+K$1</f>
        <v>Defeated enemy 64</v>
      </c>
    </row>
    <row r="139" customFormat="false" ht="15" hidden="false" customHeight="false" outlineLevel="0" collapsed="false">
      <c r="A139" s="10" t="n">
        <f aca="false">A138+1</f>
        <v>137</v>
      </c>
      <c r="B139" s="11" t="str">
        <f aca="false">com.sun.star.sheet.addin.Analysis.getDec2Hex(2560+A139)</f>
        <v>A89</v>
      </c>
      <c r="C139" s="11"/>
      <c r="D139" s="109" t="str">
        <f aca="false">"Defeated enemy "&amp;8*($A139-128)+D$1</f>
        <v>Defeated enemy 79</v>
      </c>
      <c r="E139" s="109" t="str">
        <f aca="false">"Defeated enemy "&amp;8*($A139-128)+E$1</f>
        <v>Defeated enemy 78</v>
      </c>
      <c r="F139" s="109" t="str">
        <f aca="false">"Defeated enemy "&amp;8*($A139-128)+F$1</f>
        <v>Defeated enemy 77</v>
      </c>
      <c r="G139" s="109" t="str">
        <f aca="false">"Defeated enemy "&amp;8*($A139-128)+G$1</f>
        <v>Defeated enemy 76</v>
      </c>
      <c r="H139" s="108" t="str">
        <f aca="false">"Defeated enemy "&amp;8*($A139-128)+H$1</f>
        <v>Defeated enemy 75</v>
      </c>
      <c r="I139" s="109" t="str">
        <f aca="false">"Defeated enemy "&amp;8*($A139-128)+I$1</f>
        <v>Defeated enemy 74</v>
      </c>
      <c r="J139" s="109" t="str">
        <f aca="false">"Defeated enemy "&amp;8*($A139-128)+J$1</f>
        <v>Defeated enemy 73</v>
      </c>
      <c r="K139" s="109" t="str">
        <f aca="false">"Defeated enemy "&amp;8*($A139-128)+K$1</f>
        <v>Defeated enemy 72</v>
      </c>
    </row>
    <row r="140" customFormat="false" ht="15" hidden="false" customHeight="false" outlineLevel="0" collapsed="false">
      <c r="A140" s="10" t="n">
        <f aca="false">A139+1</f>
        <v>138</v>
      </c>
      <c r="B140" s="11" t="str">
        <f aca="false">com.sun.star.sheet.addin.Analysis.getDec2Hex(2560+A140)</f>
        <v>A8A</v>
      </c>
      <c r="C140" s="11"/>
      <c r="D140" s="109" t="str">
        <f aca="false">"Defeated enemy "&amp;8*($A140-128)+D$1</f>
        <v>Defeated enemy 87</v>
      </c>
      <c r="E140" s="109" t="str">
        <f aca="false">"Defeated enemy "&amp;8*($A140-128)+E$1</f>
        <v>Defeated enemy 86</v>
      </c>
      <c r="F140" s="109" t="str">
        <f aca="false">"Defeated enemy "&amp;8*($A140-128)+F$1</f>
        <v>Defeated enemy 85</v>
      </c>
      <c r="G140" s="109" t="str">
        <f aca="false">"Defeated enemy "&amp;8*($A140-128)+G$1</f>
        <v>Defeated enemy 84</v>
      </c>
      <c r="H140" s="108" t="str">
        <f aca="false">"Defeated enemy "&amp;8*($A140-128)+H$1</f>
        <v>Defeated enemy 83</v>
      </c>
      <c r="I140" s="109" t="str">
        <f aca="false">"Defeated enemy "&amp;8*($A140-128)+I$1</f>
        <v>Defeated enemy 82</v>
      </c>
      <c r="J140" s="109" t="str">
        <f aca="false">"Defeated enemy "&amp;8*($A140-128)+J$1</f>
        <v>Defeated enemy 81</v>
      </c>
      <c r="K140" s="109" t="str">
        <f aca="false">"Defeated enemy "&amp;8*($A140-128)+K$1</f>
        <v>Defeated enemy 80</v>
      </c>
    </row>
    <row r="141" customFormat="false" ht="15" hidden="false" customHeight="false" outlineLevel="0" collapsed="false">
      <c r="A141" s="10" t="n">
        <f aca="false">A140+1</f>
        <v>139</v>
      </c>
      <c r="B141" s="11" t="str">
        <f aca="false">com.sun.star.sheet.addin.Analysis.getDec2Hex(2560+A141)</f>
        <v>A8B</v>
      </c>
      <c r="C141" s="11"/>
      <c r="D141" s="109" t="str">
        <f aca="false">"Defeated enemy "&amp;8*($A141-128)+D$1</f>
        <v>Defeated enemy 95</v>
      </c>
      <c r="E141" s="109" t="str">
        <f aca="false">"Defeated enemy "&amp;8*($A141-128)+E$1</f>
        <v>Defeated enemy 94</v>
      </c>
      <c r="F141" s="109" t="str">
        <f aca="false">"Defeated enemy "&amp;8*($A141-128)+F$1</f>
        <v>Defeated enemy 93</v>
      </c>
      <c r="G141" s="109" t="str">
        <f aca="false">"Defeated enemy "&amp;8*($A141-128)+G$1</f>
        <v>Defeated enemy 92</v>
      </c>
      <c r="H141" s="108" t="str">
        <f aca="false">"Defeated enemy "&amp;8*($A141-128)+H$1</f>
        <v>Defeated enemy 91</v>
      </c>
      <c r="I141" s="109" t="str">
        <f aca="false">"Defeated enemy "&amp;8*($A141-128)+I$1</f>
        <v>Defeated enemy 90</v>
      </c>
      <c r="J141" s="109" t="str">
        <f aca="false">"Defeated enemy "&amp;8*($A141-128)+J$1</f>
        <v>Defeated enemy 89</v>
      </c>
      <c r="K141" s="109" t="str">
        <f aca="false">"Defeated enemy "&amp;8*($A141-128)+K$1</f>
        <v>Defeated enemy 88</v>
      </c>
    </row>
    <row r="142" customFormat="false" ht="15" hidden="false" customHeight="false" outlineLevel="0" collapsed="false">
      <c r="A142" s="10" t="n">
        <f aca="false">A141+1</f>
        <v>140</v>
      </c>
      <c r="B142" s="11" t="str">
        <f aca="false">com.sun.star.sheet.addin.Analysis.getDec2Hex(2560+A142)</f>
        <v>A8C</v>
      </c>
      <c r="C142" s="11"/>
      <c r="D142" s="109" t="str">
        <f aca="false">"Defeated enemy "&amp;8*($A142-128)+D$1</f>
        <v>Defeated enemy 103</v>
      </c>
      <c r="E142" s="109" t="str">
        <f aca="false">"Defeated enemy "&amp;8*($A142-128)+E$1</f>
        <v>Defeated enemy 102</v>
      </c>
      <c r="F142" s="109" t="str">
        <f aca="false">"Defeated enemy "&amp;8*($A142-128)+F$1</f>
        <v>Defeated enemy 101</v>
      </c>
      <c r="G142" s="109" t="str">
        <f aca="false">"Defeated enemy "&amp;8*($A142-128)+G$1</f>
        <v>Defeated enemy 100</v>
      </c>
      <c r="H142" s="108" t="str">
        <f aca="false">"Defeated enemy "&amp;8*($A142-128)+H$1</f>
        <v>Defeated enemy 99</v>
      </c>
      <c r="I142" s="109" t="str">
        <f aca="false">"Defeated enemy "&amp;8*($A142-128)+I$1</f>
        <v>Defeated enemy 98</v>
      </c>
      <c r="J142" s="109" t="str">
        <f aca="false">"Defeated enemy "&amp;8*($A142-128)+J$1</f>
        <v>Defeated enemy 97</v>
      </c>
      <c r="K142" s="109" t="str">
        <f aca="false">"Defeated enemy "&amp;8*($A142-128)+K$1</f>
        <v>Defeated enemy 96</v>
      </c>
    </row>
    <row r="143" customFormat="false" ht="15" hidden="false" customHeight="false" outlineLevel="0" collapsed="false">
      <c r="A143" s="10" t="n">
        <f aca="false">A142+1</f>
        <v>141</v>
      </c>
      <c r="B143" s="11" t="str">
        <f aca="false">com.sun.star.sheet.addin.Analysis.getDec2Hex(2560+A143)</f>
        <v>A8D</v>
      </c>
      <c r="C143" s="11"/>
      <c r="D143" s="109" t="str">
        <f aca="false">"Defeated enemy "&amp;8*($A143-128)+D$1</f>
        <v>Defeated enemy 111</v>
      </c>
      <c r="E143" s="109" t="str">
        <f aca="false">"Defeated enemy "&amp;8*($A143-128)+E$1</f>
        <v>Defeated enemy 110</v>
      </c>
      <c r="F143" s="109" t="str">
        <f aca="false">"Defeated enemy "&amp;8*($A143-128)+F$1</f>
        <v>Defeated enemy 109</v>
      </c>
      <c r="G143" s="109" t="str">
        <f aca="false">"Defeated enemy "&amp;8*($A143-128)+G$1</f>
        <v>Defeated enemy 108</v>
      </c>
      <c r="H143" s="108" t="str">
        <f aca="false">"Defeated enemy "&amp;8*($A143-128)+H$1</f>
        <v>Defeated enemy 107</v>
      </c>
      <c r="I143" s="109" t="str">
        <f aca="false">"Defeated enemy "&amp;8*($A143-128)+I$1</f>
        <v>Defeated enemy 106</v>
      </c>
      <c r="J143" s="109" t="str">
        <f aca="false">"Defeated enemy "&amp;8*($A143-128)+J$1</f>
        <v>Defeated enemy 105</v>
      </c>
      <c r="K143" s="109" t="str">
        <f aca="false">"Defeated enemy "&amp;8*($A143-128)+K$1</f>
        <v>Defeated enemy 104</v>
      </c>
    </row>
    <row r="144" customFormat="false" ht="15" hidden="false" customHeight="false" outlineLevel="0" collapsed="false">
      <c r="A144" s="10" t="n">
        <f aca="false">A143+1</f>
        <v>142</v>
      </c>
      <c r="B144" s="11" t="str">
        <f aca="false">com.sun.star.sheet.addin.Analysis.getDec2Hex(2560+A144)</f>
        <v>A8E</v>
      </c>
      <c r="C144" s="11"/>
      <c r="D144" s="109" t="str">
        <f aca="false">"Defeated enemy "&amp;8*($A144-128)+D$1</f>
        <v>Defeated enemy 119</v>
      </c>
      <c r="E144" s="109" t="str">
        <f aca="false">"Defeated enemy "&amp;8*($A144-128)+E$1</f>
        <v>Defeated enemy 118</v>
      </c>
      <c r="F144" s="109" t="str">
        <f aca="false">"Defeated enemy "&amp;8*($A144-128)+F$1</f>
        <v>Defeated enemy 117</v>
      </c>
      <c r="G144" s="109" t="str">
        <f aca="false">"Defeated enemy "&amp;8*($A144-128)+G$1</f>
        <v>Defeated enemy 116</v>
      </c>
      <c r="H144" s="108" t="str">
        <f aca="false">"Defeated enemy "&amp;8*($A144-128)+H$1</f>
        <v>Defeated enemy 115</v>
      </c>
      <c r="I144" s="109" t="str">
        <f aca="false">"Defeated enemy "&amp;8*($A144-128)+I$1</f>
        <v>Defeated enemy 114</v>
      </c>
      <c r="J144" s="109" t="str">
        <f aca="false">"Defeated enemy "&amp;8*($A144-128)+J$1</f>
        <v>Defeated enemy 113</v>
      </c>
      <c r="K144" s="109" t="str">
        <f aca="false">"Defeated enemy "&amp;8*($A144-128)+K$1</f>
        <v>Defeated enemy 112</v>
      </c>
    </row>
    <row r="145" s="62" customFormat="true" ht="15" hidden="false" customHeight="false" outlineLevel="0" collapsed="false">
      <c r="A145" s="54" t="n">
        <f aca="false">A144+1</f>
        <v>143</v>
      </c>
      <c r="B145" s="55" t="str">
        <f aca="false">com.sun.star.sheet.addin.Analysis.getDec2Hex(2560+A145)</f>
        <v>A8F</v>
      </c>
      <c r="C145" s="55"/>
      <c r="D145" s="127" t="str">
        <f aca="false">"Defeated enemy "&amp;8*($A145-128)+D$1</f>
        <v>Defeated enemy 127</v>
      </c>
      <c r="E145" s="127" t="str">
        <f aca="false">"Defeated enemy "&amp;8*($A145-128)+E$1</f>
        <v>Defeated enemy 126</v>
      </c>
      <c r="F145" s="127" t="str">
        <f aca="false">"Defeated enemy "&amp;8*($A145-128)+F$1</f>
        <v>Defeated enemy 125</v>
      </c>
      <c r="G145" s="127" t="str">
        <f aca="false">"Defeated enemy "&amp;8*($A145-128)+G$1</f>
        <v>Defeated enemy 124</v>
      </c>
      <c r="H145" s="126" t="str">
        <f aca="false">"Defeated enemy "&amp;8*($A145-128)+H$1</f>
        <v>Defeated enemy 123</v>
      </c>
      <c r="I145" s="127" t="str">
        <f aca="false">"Defeated enemy "&amp;8*($A145-128)+I$1</f>
        <v>Defeated enemy 122</v>
      </c>
      <c r="J145" s="127" t="str">
        <f aca="false">"Defeated enemy "&amp;8*($A145-128)+J$1</f>
        <v>Defeated enemy 121</v>
      </c>
      <c r="K145" s="127" t="str">
        <f aca="false">"Defeated enemy "&amp;8*($A145-128)+K$1</f>
        <v>Defeated enemy 120</v>
      </c>
      <c r="L145" s="148"/>
      <c r="M145" s="149"/>
      <c r="N145" s="149"/>
    </row>
    <row r="146" customFormat="false" ht="15" hidden="false" customHeight="false" outlineLevel="0" collapsed="false">
      <c r="A146" s="63" t="n">
        <f aca="false">A145+1</f>
        <v>144</v>
      </c>
      <c r="B146" s="64" t="str">
        <f aca="false">com.sun.star.sheet.addin.Analysis.getDec2Hex(2560+A146)</f>
        <v>A90</v>
      </c>
      <c r="C146" s="64"/>
      <c r="D146" s="109" t="str">
        <f aca="false">"Defeated enemy "&amp;8*($A146-128)+D$1</f>
        <v>Defeated enemy 135</v>
      </c>
      <c r="E146" s="109" t="str">
        <f aca="false">"Defeated enemy "&amp;8*($A146-128)+E$1</f>
        <v>Defeated enemy 134</v>
      </c>
      <c r="F146" s="109" t="str">
        <f aca="false">"Defeated enemy "&amp;8*($A146-128)+F$1</f>
        <v>Defeated enemy 133</v>
      </c>
      <c r="G146" s="109" t="str">
        <f aca="false">"Defeated enemy "&amp;8*($A146-128)+G$1</f>
        <v>Defeated enemy 132</v>
      </c>
      <c r="H146" s="108" t="str">
        <f aca="false">"Defeated enemy "&amp;8*($A146-128)+H$1</f>
        <v>Defeated enemy 131</v>
      </c>
      <c r="I146" s="109" t="str">
        <f aca="false">"Defeated enemy "&amp;8*($A146-128)+I$1</f>
        <v>Defeated enemy 130</v>
      </c>
      <c r="J146" s="109" t="str">
        <f aca="false">"Defeated enemy "&amp;8*($A146-128)+J$1</f>
        <v>Defeated enemy 129</v>
      </c>
      <c r="K146" s="109" t="str">
        <f aca="false">"Defeated enemy "&amp;8*($A146-128)+K$1</f>
        <v>Defeated enemy 128</v>
      </c>
    </row>
    <row r="147" customFormat="false" ht="15" hidden="false" customHeight="false" outlineLevel="0" collapsed="false">
      <c r="A147" s="10" t="n">
        <f aca="false">A146+1</f>
        <v>145</v>
      </c>
      <c r="B147" s="11" t="str">
        <f aca="false">com.sun.star.sheet.addin.Analysis.getDec2Hex(2560+A147)</f>
        <v>A91</v>
      </c>
      <c r="C147" s="11"/>
      <c r="D147" s="109" t="str">
        <f aca="false">"Defeated enemy "&amp;8*($A147-128)+D$1</f>
        <v>Defeated enemy 143</v>
      </c>
      <c r="E147" s="109" t="str">
        <f aca="false">"Defeated enemy "&amp;8*($A147-128)+E$1</f>
        <v>Defeated enemy 142</v>
      </c>
      <c r="F147" s="109" t="str">
        <f aca="false">"Defeated enemy "&amp;8*($A147-128)+F$1</f>
        <v>Defeated enemy 141</v>
      </c>
      <c r="G147" s="109" t="str">
        <f aca="false">"Defeated enemy "&amp;8*($A147-128)+G$1</f>
        <v>Defeated enemy 140</v>
      </c>
      <c r="H147" s="108" t="str">
        <f aca="false">"Defeated enemy "&amp;8*($A147-128)+H$1</f>
        <v>Defeated enemy 139</v>
      </c>
      <c r="I147" s="109" t="str">
        <f aca="false">"Defeated enemy "&amp;8*($A147-128)+I$1</f>
        <v>Defeated enemy 138</v>
      </c>
      <c r="J147" s="109" t="str">
        <f aca="false">"Defeated enemy "&amp;8*($A147-128)+J$1</f>
        <v>Defeated enemy 137</v>
      </c>
      <c r="K147" s="109" t="str">
        <f aca="false">"Defeated enemy "&amp;8*($A147-128)+K$1</f>
        <v>Defeated enemy 136</v>
      </c>
    </row>
    <row r="148" customFormat="false" ht="15" hidden="false" customHeight="false" outlineLevel="0" collapsed="false">
      <c r="A148" s="10" t="n">
        <f aca="false">A147+1</f>
        <v>146</v>
      </c>
      <c r="B148" s="11" t="str">
        <f aca="false">com.sun.star.sheet.addin.Analysis.getDec2Hex(2560+A148)</f>
        <v>A92</v>
      </c>
      <c r="C148" s="11"/>
      <c r="D148" s="109" t="str">
        <f aca="false">"Defeated enemy "&amp;8*($A148-128)+D$1</f>
        <v>Defeated enemy 151</v>
      </c>
      <c r="E148" s="109" t="str">
        <f aca="false">"Defeated enemy "&amp;8*($A148-128)+E$1</f>
        <v>Defeated enemy 150</v>
      </c>
      <c r="F148" s="109" t="str">
        <f aca="false">"Defeated enemy "&amp;8*($A148-128)+F$1</f>
        <v>Defeated enemy 149</v>
      </c>
      <c r="G148" s="109" t="str">
        <f aca="false">"Defeated enemy "&amp;8*($A148-128)+G$1</f>
        <v>Defeated enemy 148</v>
      </c>
      <c r="H148" s="108" t="str">
        <f aca="false">"Defeated enemy "&amp;8*($A148-128)+H$1</f>
        <v>Defeated enemy 147</v>
      </c>
      <c r="I148" s="109" t="str">
        <f aca="false">"Defeated enemy "&amp;8*($A148-128)+I$1</f>
        <v>Defeated enemy 146</v>
      </c>
      <c r="J148" s="109" t="str">
        <f aca="false">"Defeated enemy "&amp;8*($A148-128)+J$1</f>
        <v>Defeated enemy 145</v>
      </c>
      <c r="K148" s="109" t="str">
        <f aca="false">"Defeated enemy "&amp;8*($A148-128)+K$1</f>
        <v>Defeated enemy 144</v>
      </c>
    </row>
    <row r="149" customFormat="false" ht="15" hidden="false" customHeight="false" outlineLevel="0" collapsed="false">
      <c r="A149" s="10" t="n">
        <f aca="false">A148+1</f>
        <v>147</v>
      </c>
      <c r="B149" s="11" t="str">
        <f aca="false">com.sun.star.sheet.addin.Analysis.getDec2Hex(2560+A149)</f>
        <v>A93</v>
      </c>
      <c r="C149" s="11"/>
      <c r="D149" s="109" t="str">
        <f aca="false">"Defeated enemy "&amp;8*($A149-128)+D$1</f>
        <v>Defeated enemy 159</v>
      </c>
      <c r="E149" s="109" t="str">
        <f aca="false">"Defeated enemy "&amp;8*($A149-128)+E$1</f>
        <v>Defeated enemy 158</v>
      </c>
      <c r="F149" s="109" t="str">
        <f aca="false">"Defeated enemy "&amp;8*($A149-128)+F$1</f>
        <v>Defeated enemy 157</v>
      </c>
      <c r="G149" s="109" t="str">
        <f aca="false">"Defeated enemy "&amp;8*($A149-128)+G$1</f>
        <v>Defeated enemy 156</v>
      </c>
      <c r="H149" s="108" t="str">
        <f aca="false">"Defeated enemy "&amp;8*($A149-128)+H$1</f>
        <v>Defeated enemy 155</v>
      </c>
      <c r="I149" s="109" t="str">
        <f aca="false">"Defeated enemy "&amp;8*($A149-128)+I$1</f>
        <v>Defeated enemy 154</v>
      </c>
      <c r="J149" s="109" t="str">
        <f aca="false">"Defeated enemy "&amp;8*($A149-128)+J$1</f>
        <v>Defeated enemy 153</v>
      </c>
      <c r="K149" s="109" t="str">
        <f aca="false">"Defeated enemy "&amp;8*($A149-128)+K$1</f>
        <v>Defeated enemy 152</v>
      </c>
    </row>
    <row r="150" customFormat="false" ht="15" hidden="false" customHeight="false" outlineLevel="0" collapsed="false">
      <c r="A150" s="10" t="n">
        <f aca="false">A149+1</f>
        <v>148</v>
      </c>
      <c r="B150" s="11" t="str">
        <f aca="false">com.sun.star.sheet.addin.Analysis.getDec2Hex(2560+A150)</f>
        <v>A94</v>
      </c>
      <c r="C150" s="11"/>
      <c r="D150" s="109" t="str">
        <f aca="false">"Defeated enemy "&amp;8*($A150-128)+D$1</f>
        <v>Defeated enemy 167</v>
      </c>
      <c r="E150" s="109" t="str">
        <f aca="false">"Defeated enemy "&amp;8*($A150-128)+E$1</f>
        <v>Defeated enemy 166</v>
      </c>
      <c r="F150" s="109" t="str">
        <f aca="false">"Defeated enemy "&amp;8*($A150-128)+F$1</f>
        <v>Defeated enemy 165</v>
      </c>
      <c r="G150" s="109" t="str">
        <f aca="false">"Defeated enemy "&amp;8*($A150-128)+G$1</f>
        <v>Defeated enemy 164</v>
      </c>
      <c r="H150" s="108" t="str">
        <f aca="false">"Defeated enemy "&amp;8*($A150-128)+H$1</f>
        <v>Defeated enemy 163</v>
      </c>
      <c r="I150" s="109" t="str">
        <f aca="false">"Defeated enemy "&amp;8*($A150-128)+I$1</f>
        <v>Defeated enemy 162</v>
      </c>
      <c r="J150" s="109" t="str">
        <f aca="false">"Defeated enemy "&amp;8*($A150-128)+J$1</f>
        <v>Defeated enemy 161</v>
      </c>
      <c r="K150" s="109" t="str">
        <f aca="false">"Defeated enemy "&amp;8*($A150-128)+K$1</f>
        <v>Defeated enemy 160</v>
      </c>
    </row>
    <row r="151" customFormat="false" ht="15" hidden="false" customHeight="false" outlineLevel="0" collapsed="false">
      <c r="A151" s="10" t="n">
        <f aca="false">A150+1</f>
        <v>149</v>
      </c>
      <c r="B151" s="11" t="str">
        <f aca="false">com.sun.star.sheet.addin.Analysis.getDec2Hex(2560+A151)</f>
        <v>A95</v>
      </c>
      <c r="C151" s="11"/>
      <c r="D151" s="109" t="str">
        <f aca="false">"Defeated enemy "&amp;8*($A151-128)+D$1</f>
        <v>Defeated enemy 175</v>
      </c>
      <c r="E151" s="109" t="str">
        <f aca="false">"Defeated enemy "&amp;8*($A151-128)+E$1</f>
        <v>Defeated enemy 174</v>
      </c>
      <c r="F151" s="109" t="str">
        <f aca="false">"Defeated enemy "&amp;8*($A151-128)+F$1</f>
        <v>Defeated enemy 173</v>
      </c>
      <c r="G151" s="109" t="str">
        <f aca="false">"Defeated enemy "&amp;8*($A151-128)+G$1</f>
        <v>Defeated enemy 172</v>
      </c>
      <c r="H151" s="108" t="str">
        <f aca="false">"Defeated enemy "&amp;8*($A151-128)+H$1</f>
        <v>Defeated enemy 171</v>
      </c>
      <c r="I151" s="109" t="str">
        <f aca="false">"Defeated enemy "&amp;8*($A151-128)+I$1</f>
        <v>Defeated enemy 170</v>
      </c>
      <c r="J151" s="109" t="str">
        <f aca="false">"Defeated enemy "&amp;8*($A151-128)+J$1</f>
        <v>Defeated enemy 169</v>
      </c>
      <c r="K151" s="109" t="str">
        <f aca="false">"Defeated enemy "&amp;8*($A151-128)+K$1</f>
        <v>Defeated enemy 168</v>
      </c>
    </row>
    <row r="152" customFormat="false" ht="15" hidden="false" customHeight="false" outlineLevel="0" collapsed="false">
      <c r="A152" s="10" t="n">
        <f aca="false">A151+1</f>
        <v>150</v>
      </c>
      <c r="B152" s="11" t="str">
        <f aca="false">com.sun.star.sheet.addin.Analysis.getDec2Hex(2560+A152)</f>
        <v>A96</v>
      </c>
      <c r="C152" s="11"/>
      <c r="D152" s="109" t="str">
        <f aca="false">"Defeated enemy "&amp;8*($A152-128)+D$1</f>
        <v>Defeated enemy 183</v>
      </c>
      <c r="E152" s="109" t="str">
        <f aca="false">"Defeated enemy "&amp;8*($A152-128)+E$1</f>
        <v>Defeated enemy 182</v>
      </c>
      <c r="F152" s="109" t="str">
        <f aca="false">"Defeated enemy "&amp;8*($A152-128)+F$1</f>
        <v>Defeated enemy 181</v>
      </c>
      <c r="G152" s="109" t="str">
        <f aca="false">"Defeated enemy "&amp;8*($A152-128)+G$1</f>
        <v>Defeated enemy 180</v>
      </c>
      <c r="H152" s="108" t="str">
        <f aca="false">"Defeated enemy "&amp;8*($A152-128)+H$1</f>
        <v>Defeated enemy 179</v>
      </c>
      <c r="I152" s="109" t="str">
        <f aca="false">"Defeated enemy "&amp;8*($A152-128)+I$1</f>
        <v>Defeated enemy 178</v>
      </c>
      <c r="J152" s="109" t="str">
        <f aca="false">"Defeated enemy "&amp;8*($A152-128)+J$1</f>
        <v>Defeated enemy 177</v>
      </c>
      <c r="K152" s="109" t="str">
        <f aca="false">"Defeated enemy "&amp;8*($A152-128)+K$1</f>
        <v>Defeated enemy 176</v>
      </c>
    </row>
    <row r="153" customFormat="false" ht="15" hidden="false" customHeight="false" outlineLevel="0" collapsed="false">
      <c r="A153" s="10" t="n">
        <f aca="false">A152+1</f>
        <v>151</v>
      </c>
      <c r="B153" s="11" t="str">
        <f aca="false">com.sun.star.sheet.addin.Analysis.getDec2Hex(2560+A153)</f>
        <v>A97</v>
      </c>
      <c r="C153" s="11"/>
      <c r="D153" s="109" t="str">
        <f aca="false">"Defeated enemy "&amp;8*($A153-128)+D$1</f>
        <v>Defeated enemy 191</v>
      </c>
      <c r="E153" s="109" t="str">
        <f aca="false">"Defeated enemy "&amp;8*($A153-128)+E$1</f>
        <v>Defeated enemy 190</v>
      </c>
      <c r="F153" s="109" t="str">
        <f aca="false">"Defeated enemy "&amp;8*($A153-128)+F$1</f>
        <v>Defeated enemy 189</v>
      </c>
      <c r="G153" s="109" t="str">
        <f aca="false">"Defeated enemy "&amp;8*($A153-128)+G$1</f>
        <v>Defeated enemy 188</v>
      </c>
      <c r="H153" s="108" t="str">
        <f aca="false">"Defeated enemy "&amp;8*($A153-128)+H$1</f>
        <v>Defeated enemy 187</v>
      </c>
      <c r="I153" s="109" t="str">
        <f aca="false">"Defeated enemy "&amp;8*($A153-128)+I$1</f>
        <v>Defeated enemy 186</v>
      </c>
      <c r="J153" s="109" t="str">
        <f aca="false">"Defeated enemy "&amp;8*($A153-128)+J$1</f>
        <v>Defeated enemy 185</v>
      </c>
      <c r="K153" s="109" t="str">
        <f aca="false">"Defeated enemy "&amp;8*($A153-128)+K$1</f>
        <v>Defeated enemy 184</v>
      </c>
    </row>
    <row r="154" customFormat="false" ht="15" hidden="false" customHeight="false" outlineLevel="0" collapsed="false">
      <c r="A154" s="10" t="n">
        <f aca="false">A153+1</f>
        <v>152</v>
      </c>
      <c r="B154" s="11" t="str">
        <f aca="false">com.sun.star.sheet.addin.Analysis.getDec2Hex(2560+A154)</f>
        <v>A98</v>
      </c>
      <c r="C154" s="11"/>
      <c r="D154" s="109" t="str">
        <f aca="false">"Defeated enemy "&amp;8*($A154-128)+D$1</f>
        <v>Defeated enemy 199</v>
      </c>
      <c r="E154" s="109" t="str">
        <f aca="false">"Defeated enemy "&amp;8*($A154-128)+E$1</f>
        <v>Defeated enemy 198</v>
      </c>
      <c r="F154" s="109" t="str">
        <f aca="false">"Defeated enemy "&amp;8*($A154-128)+F$1</f>
        <v>Defeated enemy 197</v>
      </c>
      <c r="G154" s="109" t="str">
        <f aca="false">"Defeated enemy "&amp;8*($A154-128)+G$1</f>
        <v>Defeated enemy 196</v>
      </c>
      <c r="H154" s="108" t="str">
        <f aca="false">"Defeated enemy "&amp;8*($A154-128)+H$1</f>
        <v>Defeated enemy 195</v>
      </c>
      <c r="I154" s="109" t="str">
        <f aca="false">"Defeated enemy "&amp;8*($A154-128)+I$1</f>
        <v>Defeated enemy 194</v>
      </c>
      <c r="J154" s="109" t="str">
        <f aca="false">"Defeated enemy "&amp;8*($A154-128)+J$1</f>
        <v>Defeated enemy 193</v>
      </c>
      <c r="K154" s="109" t="str">
        <f aca="false">"Defeated enemy "&amp;8*($A154-128)+K$1</f>
        <v>Defeated enemy 192</v>
      </c>
    </row>
    <row r="155" customFormat="false" ht="15" hidden="false" customHeight="false" outlineLevel="0" collapsed="false">
      <c r="A155" s="10" t="n">
        <f aca="false">A154+1</f>
        <v>153</v>
      </c>
      <c r="B155" s="11" t="str">
        <f aca="false">com.sun.star.sheet.addin.Analysis.getDec2Hex(2560+A155)</f>
        <v>A99</v>
      </c>
      <c r="C155" s="11"/>
      <c r="D155" s="109" t="str">
        <f aca="false">"Defeated enemy "&amp;8*($A155-128)+D$1</f>
        <v>Defeated enemy 207</v>
      </c>
      <c r="E155" s="109" t="str">
        <f aca="false">"Defeated enemy "&amp;8*($A155-128)+E$1</f>
        <v>Defeated enemy 206</v>
      </c>
      <c r="F155" s="109" t="str">
        <f aca="false">"Defeated enemy "&amp;8*($A155-128)+F$1</f>
        <v>Defeated enemy 205</v>
      </c>
      <c r="G155" s="109" t="str">
        <f aca="false">"Defeated enemy "&amp;8*($A155-128)+G$1</f>
        <v>Defeated enemy 204</v>
      </c>
      <c r="H155" s="108" t="str">
        <f aca="false">"Defeated enemy "&amp;8*($A155-128)+H$1</f>
        <v>Defeated enemy 203</v>
      </c>
      <c r="I155" s="109" t="str">
        <f aca="false">"Defeated enemy "&amp;8*($A155-128)+I$1</f>
        <v>Defeated enemy 202</v>
      </c>
      <c r="J155" s="109" t="str">
        <f aca="false">"Defeated enemy "&amp;8*($A155-128)+J$1</f>
        <v>Defeated enemy 201</v>
      </c>
      <c r="K155" s="109" t="str">
        <f aca="false">"Defeated enemy "&amp;8*($A155-128)+K$1</f>
        <v>Defeated enemy 200</v>
      </c>
    </row>
    <row r="156" customFormat="false" ht="15" hidden="false" customHeight="false" outlineLevel="0" collapsed="false">
      <c r="A156" s="10" t="n">
        <f aca="false">A155+1</f>
        <v>154</v>
      </c>
      <c r="B156" s="11" t="str">
        <f aca="false">com.sun.star.sheet.addin.Analysis.getDec2Hex(2560+A156)</f>
        <v>A9A</v>
      </c>
      <c r="C156" s="11"/>
      <c r="D156" s="109" t="str">
        <f aca="false">"Defeated enemy "&amp;8*($A156-128)+D$1</f>
        <v>Defeated enemy 215</v>
      </c>
      <c r="E156" s="109" t="str">
        <f aca="false">"Defeated enemy "&amp;8*($A156-128)+E$1</f>
        <v>Defeated enemy 214</v>
      </c>
      <c r="F156" s="109" t="str">
        <f aca="false">"Defeated enemy "&amp;8*($A156-128)+F$1</f>
        <v>Defeated enemy 213</v>
      </c>
      <c r="G156" s="109" t="str">
        <f aca="false">"Defeated enemy "&amp;8*($A156-128)+G$1</f>
        <v>Defeated enemy 212</v>
      </c>
      <c r="H156" s="108" t="str">
        <f aca="false">"Defeated enemy "&amp;8*($A156-128)+H$1</f>
        <v>Defeated enemy 211</v>
      </c>
      <c r="I156" s="109" t="str">
        <f aca="false">"Defeated enemy "&amp;8*($A156-128)+I$1</f>
        <v>Defeated enemy 210</v>
      </c>
      <c r="J156" s="109" t="str">
        <f aca="false">"Defeated enemy "&amp;8*($A156-128)+J$1</f>
        <v>Defeated enemy 209</v>
      </c>
      <c r="K156" s="109" t="str">
        <f aca="false">"Defeated enemy "&amp;8*($A156-128)+K$1</f>
        <v>Defeated enemy 208</v>
      </c>
    </row>
    <row r="157" customFormat="false" ht="15" hidden="false" customHeight="false" outlineLevel="0" collapsed="false">
      <c r="A157" s="10" t="n">
        <f aca="false">A156+1</f>
        <v>155</v>
      </c>
      <c r="B157" s="11" t="str">
        <f aca="false">com.sun.star.sheet.addin.Analysis.getDec2Hex(2560+A157)</f>
        <v>A9B</v>
      </c>
      <c r="C157" s="11"/>
      <c r="D157" s="109" t="str">
        <f aca="false">"Defeated enemy "&amp;8*($A157-128)+D$1</f>
        <v>Defeated enemy 223</v>
      </c>
      <c r="E157" s="109" t="str">
        <f aca="false">"Defeated enemy "&amp;8*($A157-128)+E$1</f>
        <v>Defeated enemy 222</v>
      </c>
      <c r="F157" s="109" t="str">
        <f aca="false">"Defeated enemy "&amp;8*($A157-128)+F$1</f>
        <v>Defeated enemy 221</v>
      </c>
      <c r="G157" s="109" t="str">
        <f aca="false">"Defeated enemy "&amp;8*($A157-128)+G$1</f>
        <v>Defeated enemy 220</v>
      </c>
      <c r="H157" s="108" t="str">
        <f aca="false">"Defeated enemy "&amp;8*($A157-128)+H$1</f>
        <v>Defeated enemy 219</v>
      </c>
      <c r="I157" s="109" t="str">
        <f aca="false">"Defeated enemy "&amp;8*($A157-128)+I$1</f>
        <v>Defeated enemy 218</v>
      </c>
      <c r="J157" s="109" t="str">
        <f aca="false">"Defeated enemy "&amp;8*($A157-128)+J$1</f>
        <v>Defeated enemy 217</v>
      </c>
      <c r="K157" s="109" t="str">
        <f aca="false">"Defeated enemy "&amp;8*($A157-128)+K$1</f>
        <v>Defeated enemy 216</v>
      </c>
    </row>
    <row r="158" customFormat="false" ht="15" hidden="false" customHeight="false" outlineLevel="0" collapsed="false">
      <c r="A158" s="10" t="n">
        <f aca="false">A157+1</f>
        <v>156</v>
      </c>
      <c r="B158" s="11" t="str">
        <f aca="false">com.sun.star.sheet.addin.Analysis.getDec2Hex(2560+A158)</f>
        <v>A9C</v>
      </c>
      <c r="C158" s="11"/>
      <c r="D158" s="109" t="str">
        <f aca="false">"Defeated enemy "&amp;8*($A158-128)+D$1</f>
        <v>Defeated enemy 231</v>
      </c>
      <c r="E158" s="109" t="str">
        <f aca="false">"Defeated enemy "&amp;8*($A158-128)+E$1</f>
        <v>Defeated enemy 230</v>
      </c>
      <c r="F158" s="109" t="str">
        <f aca="false">"Defeated enemy "&amp;8*($A158-128)+F$1</f>
        <v>Defeated enemy 229</v>
      </c>
      <c r="G158" s="109" t="str">
        <f aca="false">"Defeated enemy "&amp;8*($A158-128)+G$1</f>
        <v>Defeated enemy 228</v>
      </c>
      <c r="H158" s="108" t="str">
        <f aca="false">"Defeated enemy "&amp;8*($A158-128)+H$1</f>
        <v>Defeated enemy 227</v>
      </c>
      <c r="I158" s="109" t="str">
        <f aca="false">"Defeated enemy "&amp;8*($A158-128)+I$1</f>
        <v>Defeated enemy 226</v>
      </c>
      <c r="J158" s="109" t="str">
        <f aca="false">"Defeated enemy "&amp;8*($A158-128)+J$1</f>
        <v>Defeated enemy 225</v>
      </c>
      <c r="K158" s="109" t="str">
        <f aca="false">"Defeated enemy "&amp;8*($A158-128)+K$1</f>
        <v>Defeated enemy 224</v>
      </c>
    </row>
    <row r="159" customFormat="false" ht="15" hidden="false" customHeight="false" outlineLevel="0" collapsed="false">
      <c r="A159" s="10" t="n">
        <f aca="false">A158+1</f>
        <v>157</v>
      </c>
      <c r="B159" s="11" t="str">
        <f aca="false">com.sun.star.sheet.addin.Analysis.getDec2Hex(2560+A159)</f>
        <v>A9D</v>
      </c>
      <c r="C159" s="11"/>
      <c r="D159" s="109" t="str">
        <f aca="false">"Defeated enemy "&amp;8*($A159-128)+D$1</f>
        <v>Defeated enemy 239</v>
      </c>
      <c r="E159" s="109" t="str">
        <f aca="false">"Defeated enemy "&amp;8*($A159-128)+E$1</f>
        <v>Defeated enemy 238</v>
      </c>
      <c r="F159" s="109" t="str">
        <f aca="false">"Defeated enemy "&amp;8*($A159-128)+F$1</f>
        <v>Defeated enemy 237</v>
      </c>
      <c r="G159" s="109" t="str">
        <f aca="false">"Defeated enemy "&amp;8*($A159-128)+G$1</f>
        <v>Defeated enemy 236</v>
      </c>
      <c r="H159" s="108" t="str">
        <f aca="false">"Defeated enemy "&amp;8*($A159-128)+H$1</f>
        <v>Defeated enemy 235</v>
      </c>
      <c r="I159" s="109" t="str">
        <f aca="false">"Defeated enemy "&amp;8*($A159-128)+I$1</f>
        <v>Defeated enemy 234</v>
      </c>
      <c r="J159" s="109" t="str">
        <f aca="false">"Defeated enemy "&amp;8*($A159-128)+J$1</f>
        <v>Defeated enemy 233</v>
      </c>
      <c r="K159" s="109" t="str">
        <f aca="false">"Defeated enemy "&amp;8*($A159-128)+K$1</f>
        <v>Defeated enemy 232</v>
      </c>
    </row>
    <row r="160" customFormat="false" ht="15" hidden="false" customHeight="false" outlineLevel="0" collapsed="false">
      <c r="A160" s="10" t="n">
        <f aca="false">A159+1</f>
        <v>158</v>
      </c>
      <c r="B160" s="11" t="str">
        <f aca="false">com.sun.star.sheet.addin.Analysis.getDec2Hex(2560+A160)</f>
        <v>A9E</v>
      </c>
      <c r="C160" s="11"/>
      <c r="D160" s="109" t="str">
        <f aca="false">"Defeated enemy "&amp;8*($A160-128)+D$1</f>
        <v>Defeated enemy 247</v>
      </c>
      <c r="E160" s="109" t="str">
        <f aca="false">"Defeated enemy "&amp;8*($A160-128)+E$1</f>
        <v>Defeated enemy 246</v>
      </c>
      <c r="F160" s="109" t="str">
        <f aca="false">"Defeated enemy "&amp;8*($A160-128)+F$1</f>
        <v>Defeated enemy 245</v>
      </c>
      <c r="G160" s="109" t="str">
        <f aca="false">"Defeated enemy "&amp;8*($A160-128)+G$1</f>
        <v>Defeated enemy 244</v>
      </c>
      <c r="H160" s="108" t="str">
        <f aca="false">"Defeated enemy "&amp;8*($A160-128)+H$1</f>
        <v>Defeated enemy 243</v>
      </c>
      <c r="I160" s="109" t="str">
        <f aca="false">"Defeated enemy "&amp;8*($A160-128)+I$1</f>
        <v>Defeated enemy 242</v>
      </c>
      <c r="J160" s="109" t="str">
        <f aca="false">"Defeated enemy "&amp;8*($A160-128)+J$1</f>
        <v>Defeated enemy 241</v>
      </c>
      <c r="K160" s="109" t="str">
        <f aca="false">"Defeated enemy "&amp;8*($A160-128)+K$1</f>
        <v>Defeated enemy 240</v>
      </c>
    </row>
    <row r="161" s="62" customFormat="true" ht="15" hidden="false" customHeight="false" outlineLevel="0" collapsed="false">
      <c r="A161" s="54" t="n">
        <f aca="false">A160+1</f>
        <v>159</v>
      </c>
      <c r="B161" s="55" t="str">
        <f aca="false">com.sun.star.sheet.addin.Analysis.getDec2Hex(2560+A161)</f>
        <v>A9F</v>
      </c>
      <c r="C161" s="55"/>
      <c r="D161" s="127" t="str">
        <f aca="false">"Defeated enemy "&amp;8*($A161-128)+D$1</f>
        <v>Defeated enemy 255</v>
      </c>
      <c r="E161" s="127" t="str">
        <f aca="false">"Defeated enemy "&amp;8*($A161-128)+E$1</f>
        <v>Defeated enemy 254</v>
      </c>
      <c r="F161" s="127" t="str">
        <f aca="false">"Defeated enemy "&amp;8*($A161-128)+F$1</f>
        <v>Defeated enemy 253</v>
      </c>
      <c r="G161" s="127" t="str">
        <f aca="false">"Defeated enemy "&amp;8*($A161-128)+G$1</f>
        <v>Defeated enemy 252</v>
      </c>
      <c r="H161" s="126" t="str">
        <f aca="false">"Defeated enemy "&amp;8*($A161-128)+H$1</f>
        <v>Defeated enemy 251</v>
      </c>
      <c r="I161" s="127" t="str">
        <f aca="false">"Defeated enemy "&amp;8*($A161-128)+I$1</f>
        <v>Defeated enemy 250</v>
      </c>
      <c r="J161" s="127" t="str">
        <f aca="false">"Defeated enemy "&amp;8*($A161-128)+J$1</f>
        <v>Defeated enemy 249</v>
      </c>
      <c r="K161" s="127" t="str">
        <f aca="false">"Defeated enemy "&amp;8*($A161-128)+K$1</f>
        <v>Defeated enemy 248</v>
      </c>
      <c r="L161" s="148"/>
      <c r="M161" s="149"/>
      <c r="N161" s="149"/>
    </row>
    <row r="162" customFormat="false" ht="15" hidden="false" customHeight="false" outlineLevel="0" collapsed="false">
      <c r="A162" s="63" t="n">
        <f aca="false">A161+1</f>
        <v>160</v>
      </c>
      <c r="B162" s="64" t="str">
        <f aca="false">com.sun.star.sheet.addin.Analysis.getDec2Hex(2560+A162)</f>
        <v>AA0</v>
      </c>
      <c r="C162" s="64"/>
      <c r="D162" s="93"/>
      <c r="E162" s="63"/>
      <c r="F162" s="63"/>
      <c r="G162" s="95"/>
      <c r="H162" s="92"/>
      <c r="I162" s="63"/>
      <c r="J162" s="63"/>
      <c r="K162" s="95"/>
    </row>
    <row r="163" customFormat="false" ht="15" hidden="false" customHeight="false" outlineLevel="0" collapsed="false">
      <c r="A163" s="10" t="n">
        <f aca="false">A162+1</f>
        <v>161</v>
      </c>
      <c r="B163" s="11" t="str">
        <f aca="false">com.sun.star.sheet.addin.Analysis.getDec2Hex(2560+A163)</f>
        <v>AA1</v>
      </c>
      <c r="C163" s="11"/>
      <c r="D163" s="97"/>
      <c r="E163" s="10"/>
      <c r="F163" s="10"/>
      <c r="G163" s="99"/>
      <c r="H163" s="96"/>
      <c r="I163" s="10"/>
      <c r="J163" s="10"/>
      <c r="K163" s="99"/>
    </row>
    <row r="164" customFormat="false" ht="15" hidden="false" customHeight="false" outlineLevel="0" collapsed="false">
      <c r="A164" s="10" t="n">
        <f aca="false">A163+1</f>
        <v>162</v>
      </c>
      <c r="B164" s="11" t="str">
        <f aca="false">com.sun.star.sheet.addin.Analysis.getDec2Hex(2560+A164)</f>
        <v>AA2</v>
      </c>
      <c r="C164" s="11"/>
      <c r="D164" s="97"/>
      <c r="E164" s="26" t="s">
        <v>420</v>
      </c>
      <c r="F164" s="26" t="s">
        <v>421</v>
      </c>
      <c r="G164" s="25" t="s">
        <v>422</v>
      </c>
      <c r="H164" s="96"/>
      <c r="I164" s="26" t="s">
        <v>423</v>
      </c>
      <c r="J164" s="26" t="s">
        <v>424</v>
      </c>
      <c r="K164" s="25" t="s">
        <v>425</v>
      </c>
    </row>
    <row r="165" customFormat="false" ht="15" hidden="false" customHeight="false" outlineLevel="0" collapsed="false">
      <c r="A165" s="10" t="n">
        <f aca="false">A164+1</f>
        <v>163</v>
      </c>
      <c r="B165" s="11" t="str">
        <f aca="false">com.sun.star.sheet.addin.Analysis.getDec2Hex(2560+A165)</f>
        <v>AA3</v>
      </c>
      <c r="C165" s="11"/>
      <c r="D165" s="97"/>
      <c r="E165" s="10"/>
      <c r="F165" s="10"/>
      <c r="G165" s="99"/>
      <c r="H165" s="96"/>
      <c r="I165" s="10"/>
      <c r="J165" s="10"/>
      <c r="K165" s="99"/>
    </row>
    <row r="166" customFormat="false" ht="15" hidden="false" customHeight="false" outlineLevel="0" collapsed="false">
      <c r="A166" s="10" t="n">
        <f aca="false">A165+1</f>
        <v>164</v>
      </c>
      <c r="B166" s="11" t="str">
        <f aca="false">com.sun.star.sheet.addin.Analysis.getDec2Hex(2560+A166)</f>
        <v>AA4</v>
      </c>
      <c r="C166" s="11"/>
      <c r="D166" s="97"/>
      <c r="E166" s="10"/>
      <c r="F166" s="10"/>
      <c r="G166" s="99"/>
      <c r="H166" s="96"/>
      <c r="I166" s="10"/>
      <c r="J166" s="10"/>
      <c r="K166" s="99"/>
    </row>
    <row r="167" customFormat="false" ht="15" hidden="false" customHeight="false" outlineLevel="0" collapsed="false">
      <c r="A167" s="10" t="n">
        <f aca="false">A166+1</f>
        <v>165</v>
      </c>
      <c r="B167" s="11" t="str">
        <f aca="false">com.sun.star.sheet.addin.Analysis.getDec2Hex(2560+A167)</f>
        <v>AA5</v>
      </c>
      <c r="C167" s="11"/>
      <c r="D167" s="97"/>
      <c r="E167" s="10"/>
      <c r="F167" s="10"/>
      <c r="G167" s="99"/>
      <c r="H167" s="96"/>
      <c r="I167" s="10"/>
      <c r="J167" s="10"/>
      <c r="K167" s="99"/>
    </row>
    <row r="168" customFormat="false" ht="15" hidden="false" customHeight="false" outlineLevel="0" collapsed="false">
      <c r="A168" s="10" t="n">
        <f aca="false">A167+1</f>
        <v>166</v>
      </c>
      <c r="B168" s="11" t="str">
        <f aca="false">com.sun.star.sheet.addin.Analysis.getDec2Hex(2560+A168)</f>
        <v>AA6</v>
      </c>
      <c r="C168" s="11"/>
      <c r="D168" s="97"/>
      <c r="E168" s="10"/>
      <c r="F168" s="10"/>
      <c r="G168" s="99"/>
      <c r="H168" s="96"/>
      <c r="I168" s="10"/>
      <c r="J168" s="10"/>
      <c r="K168" s="99"/>
    </row>
    <row r="169" customFormat="false" ht="15" hidden="false" customHeight="false" outlineLevel="0" collapsed="false">
      <c r="A169" s="10" t="n">
        <f aca="false">A168+1</f>
        <v>167</v>
      </c>
      <c r="B169" s="11" t="str">
        <f aca="false">com.sun.star.sheet.addin.Analysis.getDec2Hex(2560+A169)</f>
        <v>AA7</v>
      </c>
      <c r="C169" s="11"/>
      <c r="D169" s="97"/>
      <c r="E169" s="10"/>
      <c r="F169" s="10"/>
      <c r="G169" s="99"/>
      <c r="H169" s="96"/>
      <c r="I169" s="10"/>
      <c r="J169" s="10"/>
      <c r="K169" s="99"/>
    </row>
    <row r="170" customFormat="false" ht="15" hidden="false" customHeight="false" outlineLevel="0" collapsed="false">
      <c r="A170" s="10" t="n">
        <f aca="false">A169+1</f>
        <v>168</v>
      </c>
      <c r="B170" s="11" t="str">
        <f aca="false">com.sun.star.sheet.addin.Analysis.getDec2Hex(2560+A170)</f>
        <v>AA8</v>
      </c>
      <c r="C170" s="11"/>
      <c r="D170" s="97"/>
      <c r="E170" s="10"/>
      <c r="F170" s="10"/>
      <c r="G170" s="99"/>
      <c r="H170" s="96"/>
      <c r="I170" s="10"/>
      <c r="J170" s="10"/>
      <c r="K170" s="99"/>
    </row>
    <row r="171" customFormat="false" ht="15" hidden="false" customHeight="false" outlineLevel="0" collapsed="false">
      <c r="A171" s="10" t="n">
        <f aca="false">A170+1</f>
        <v>169</v>
      </c>
      <c r="B171" s="11" t="str">
        <f aca="false">com.sun.star.sheet.addin.Analysis.getDec2Hex(2560+A171)</f>
        <v>AA9</v>
      </c>
      <c r="C171" s="11"/>
      <c r="D171" s="97"/>
      <c r="E171" s="10"/>
      <c r="F171" s="10"/>
      <c r="G171" s="99"/>
      <c r="H171" s="96"/>
      <c r="I171" s="10"/>
      <c r="J171" s="10"/>
      <c r="K171" s="99"/>
    </row>
    <row r="172" customFormat="false" ht="15" hidden="false" customHeight="false" outlineLevel="0" collapsed="false">
      <c r="A172" s="10" t="n">
        <f aca="false">A171+1</f>
        <v>170</v>
      </c>
      <c r="B172" s="11" t="str">
        <f aca="false">com.sun.star.sheet.addin.Analysis.getDec2Hex(2560+A172)</f>
        <v>AAA</v>
      </c>
      <c r="C172" s="11"/>
      <c r="D172" s="97"/>
      <c r="E172" s="10"/>
      <c r="F172" s="10"/>
      <c r="G172" s="99"/>
      <c r="H172" s="96"/>
      <c r="I172" s="10"/>
      <c r="J172" s="10"/>
      <c r="K172" s="99"/>
    </row>
    <row r="173" customFormat="false" ht="15" hidden="false" customHeight="false" outlineLevel="0" collapsed="false">
      <c r="A173" s="10" t="n">
        <f aca="false">A172+1</f>
        <v>171</v>
      </c>
      <c r="B173" s="11" t="str">
        <f aca="false">com.sun.star.sheet.addin.Analysis.getDec2Hex(2560+A173)</f>
        <v>AAB</v>
      </c>
      <c r="C173" s="11"/>
      <c r="D173" s="97"/>
      <c r="E173" s="10"/>
      <c r="F173" s="10"/>
      <c r="G173" s="99"/>
      <c r="H173" s="96"/>
      <c r="I173" s="10"/>
      <c r="J173" s="10"/>
      <c r="K173" s="99"/>
    </row>
    <row r="174" customFormat="false" ht="15" hidden="false" customHeight="false" outlineLevel="0" collapsed="false">
      <c r="A174" s="10" t="n">
        <f aca="false">A173+1</f>
        <v>172</v>
      </c>
      <c r="B174" s="11" t="str">
        <f aca="false">com.sun.star.sheet.addin.Analysis.getDec2Hex(2560+A174)</f>
        <v>AAC</v>
      </c>
      <c r="C174" s="11"/>
      <c r="D174" s="97"/>
      <c r="E174" s="10"/>
      <c r="F174" s="10"/>
      <c r="G174" s="99"/>
      <c r="H174" s="96"/>
      <c r="I174" s="10"/>
      <c r="J174" s="10"/>
      <c r="K174" s="99"/>
    </row>
    <row r="175" customFormat="false" ht="15" hidden="false" customHeight="false" outlineLevel="0" collapsed="false">
      <c r="A175" s="10" t="n">
        <f aca="false">A174+1</f>
        <v>173</v>
      </c>
      <c r="B175" s="11" t="str">
        <f aca="false">com.sun.star.sheet.addin.Analysis.getDec2Hex(2560+A175)</f>
        <v>AAD</v>
      </c>
      <c r="C175" s="11"/>
      <c r="D175" s="97"/>
      <c r="E175" s="10"/>
      <c r="F175" s="10"/>
      <c r="G175" s="99"/>
      <c r="H175" s="96"/>
      <c r="I175" s="10"/>
      <c r="J175" s="10"/>
      <c r="K175" s="99"/>
    </row>
    <row r="176" customFormat="false" ht="15" hidden="false" customHeight="false" outlineLevel="0" collapsed="false">
      <c r="A176" s="10" t="n">
        <f aca="false">A175+1</f>
        <v>174</v>
      </c>
      <c r="B176" s="11" t="str">
        <f aca="false">com.sun.star.sheet.addin.Analysis.getDec2Hex(2560+A176)</f>
        <v>AAE</v>
      </c>
      <c r="C176" s="11"/>
      <c r="D176" s="97"/>
      <c r="E176" s="10"/>
      <c r="F176" s="10"/>
      <c r="G176" s="99"/>
      <c r="H176" s="96"/>
      <c r="I176" s="10"/>
      <c r="J176" s="10"/>
      <c r="K176" s="99"/>
    </row>
    <row r="177" s="62" customFormat="true" ht="15" hidden="false" customHeight="false" outlineLevel="0" collapsed="false">
      <c r="A177" s="54" t="n">
        <f aca="false">A176+1</f>
        <v>175</v>
      </c>
      <c r="B177" s="55" t="str">
        <f aca="false">com.sun.star.sheet.addin.Analysis.getDec2Hex(2560+A177)</f>
        <v>AAF</v>
      </c>
      <c r="C177" s="55"/>
      <c r="D177" s="151"/>
      <c r="E177" s="54"/>
      <c r="F177" s="54"/>
      <c r="G177" s="103"/>
      <c r="H177" s="102"/>
      <c r="I177" s="54"/>
      <c r="J177" s="54"/>
      <c r="K177" s="103"/>
      <c r="L177" s="148"/>
      <c r="M177" s="149"/>
      <c r="N177" s="149"/>
    </row>
    <row r="178" customFormat="false" ht="15" hidden="false" customHeight="false" outlineLevel="0" collapsed="false">
      <c r="A178" s="63" t="n">
        <f aca="false">A177+1</f>
        <v>176</v>
      </c>
      <c r="B178" s="64" t="str">
        <f aca="false">com.sun.star.sheet.addin.Analysis.getDec2Hex(2560+A178)</f>
        <v>AB0</v>
      </c>
      <c r="C178" s="64"/>
      <c r="D178" s="46" t="s">
        <v>429</v>
      </c>
      <c r="E178" s="46"/>
      <c r="F178" s="46"/>
      <c r="G178" s="46"/>
      <c r="H178" s="46"/>
      <c r="I178" s="46"/>
      <c r="J178" s="46"/>
      <c r="K178" s="46"/>
    </row>
    <row r="179" customFormat="false" ht="15" hidden="false" customHeight="false" outlineLevel="0" collapsed="false">
      <c r="A179" s="10" t="n">
        <f aca="false">A178+1</f>
        <v>177</v>
      </c>
      <c r="B179" s="11" t="str">
        <f aca="false">com.sun.star.sheet.addin.Analysis.getDec2Hex(2560+A179)</f>
        <v>AB1</v>
      </c>
      <c r="C179" s="11"/>
      <c r="D179" s="97"/>
      <c r="E179" s="10"/>
      <c r="F179" s="10"/>
      <c r="G179" s="99"/>
      <c r="H179" s="96"/>
      <c r="I179" s="10"/>
      <c r="J179" s="10"/>
      <c r="K179" s="99"/>
    </row>
    <row r="180" customFormat="false" ht="15" hidden="false" customHeight="false" outlineLevel="0" collapsed="false">
      <c r="A180" s="10" t="n">
        <f aca="false">A179+1</f>
        <v>178</v>
      </c>
      <c r="B180" s="11" t="str">
        <f aca="false">com.sun.star.sheet.addin.Analysis.getDec2Hex(2560+A180)</f>
        <v>AB2</v>
      </c>
      <c r="C180" s="11"/>
      <c r="D180" s="97"/>
      <c r="E180" s="10"/>
      <c r="F180" s="10"/>
      <c r="G180" s="99"/>
      <c r="H180" s="96"/>
      <c r="I180" s="10"/>
      <c r="J180" s="10"/>
      <c r="K180" s="99"/>
    </row>
    <row r="181" customFormat="false" ht="15" hidden="false" customHeight="false" outlineLevel="0" collapsed="false">
      <c r="A181" s="10" t="n">
        <f aca="false">A180+1</f>
        <v>179</v>
      </c>
      <c r="B181" s="11" t="str">
        <f aca="false">com.sun.star.sheet.addin.Analysis.getDec2Hex(2560+A181)</f>
        <v>AB3</v>
      </c>
      <c r="C181" s="11"/>
      <c r="D181" s="97"/>
      <c r="E181" s="10"/>
      <c r="F181" s="10"/>
      <c r="G181" s="99"/>
      <c r="H181" s="96"/>
      <c r="I181" s="10"/>
      <c r="J181" s="10"/>
      <c r="K181" s="99"/>
    </row>
    <row r="182" customFormat="false" ht="15" hidden="false" customHeight="false" outlineLevel="0" collapsed="false">
      <c r="A182" s="10" t="n">
        <f aca="false">A181+1</f>
        <v>180</v>
      </c>
      <c r="B182" s="11" t="str">
        <f aca="false">com.sun.star.sheet.addin.Analysis.getDec2Hex(2560+A182)</f>
        <v>AB4</v>
      </c>
      <c r="C182" s="11"/>
      <c r="D182" s="26" t="s">
        <v>430</v>
      </c>
      <c r="E182" s="26"/>
      <c r="F182" s="26"/>
      <c r="G182" s="26"/>
      <c r="H182" s="26"/>
      <c r="I182" s="26"/>
      <c r="J182" s="26"/>
      <c r="K182" s="26"/>
    </row>
    <row r="183" customFormat="false" ht="15" hidden="false" customHeight="false" outlineLevel="0" collapsed="false">
      <c r="A183" s="10" t="n">
        <f aca="false">A182+1</f>
        <v>181</v>
      </c>
      <c r="B183" s="11" t="str">
        <f aca="false">com.sun.star.sheet.addin.Analysis.getDec2Hex(2560+A183)</f>
        <v>AB5</v>
      </c>
      <c r="C183" s="11"/>
      <c r="D183" s="26" t="s">
        <v>431</v>
      </c>
      <c r="E183" s="26"/>
      <c r="F183" s="26"/>
      <c r="G183" s="26"/>
      <c r="H183" s="26"/>
      <c r="I183" s="26"/>
      <c r="J183" s="26"/>
      <c r="K183" s="26"/>
    </row>
    <row r="184" customFormat="false" ht="15" hidden="false" customHeight="false" outlineLevel="0" collapsed="false">
      <c r="A184" s="10" t="n">
        <f aca="false">A183+1</f>
        <v>182</v>
      </c>
      <c r="B184" s="11" t="str">
        <f aca="false">com.sun.star.sheet.addin.Analysis.getDec2Hex(2560+A184)</f>
        <v>AB6</v>
      </c>
      <c r="C184" s="11"/>
      <c r="D184" s="26" t="s">
        <v>432</v>
      </c>
      <c r="E184" s="26"/>
      <c r="F184" s="26"/>
      <c r="G184" s="26"/>
      <c r="H184" s="26"/>
      <c r="I184" s="26"/>
      <c r="J184" s="26"/>
      <c r="K184" s="26"/>
    </row>
    <row r="185" customFormat="false" ht="15" hidden="false" customHeight="false" outlineLevel="0" collapsed="false">
      <c r="A185" s="10" t="n">
        <f aca="false">A184+1</f>
        <v>183</v>
      </c>
      <c r="B185" s="11" t="str">
        <f aca="false">com.sun.star.sheet.addin.Analysis.getDec2Hex(2560+A185)</f>
        <v>AB7</v>
      </c>
      <c r="C185" s="11"/>
      <c r="D185" s="26" t="s">
        <v>433</v>
      </c>
      <c r="E185" s="26"/>
      <c r="F185" s="26"/>
      <c r="G185" s="26"/>
      <c r="H185" s="26"/>
      <c r="I185" s="26"/>
      <c r="J185" s="26"/>
      <c r="K185" s="26"/>
    </row>
    <row r="186" customFormat="false" ht="15" hidden="false" customHeight="false" outlineLevel="0" collapsed="false">
      <c r="A186" s="10" t="n">
        <f aca="false">A185+1</f>
        <v>184</v>
      </c>
      <c r="B186" s="11" t="str">
        <f aca="false">com.sun.star.sheet.addin.Analysis.getDec2Hex(2560+A186)</f>
        <v>AB8</v>
      </c>
      <c r="C186" s="11"/>
      <c r="D186" s="26" t="s">
        <v>434</v>
      </c>
      <c r="E186" s="26"/>
      <c r="F186" s="26"/>
      <c r="G186" s="26"/>
      <c r="H186" s="26"/>
      <c r="I186" s="26"/>
      <c r="J186" s="26"/>
      <c r="K186" s="26"/>
    </row>
    <row r="187" customFormat="false" ht="15" hidden="false" customHeight="false" outlineLevel="0" collapsed="false">
      <c r="A187" s="10" t="n">
        <f aca="false">A186+1</f>
        <v>185</v>
      </c>
      <c r="B187" s="11" t="str">
        <f aca="false">com.sun.star.sheet.addin.Analysis.getDec2Hex(2560+A187)</f>
        <v>AB9</v>
      </c>
      <c r="C187" s="11"/>
      <c r="D187" s="26" t="s">
        <v>435</v>
      </c>
      <c r="E187" s="26"/>
      <c r="F187" s="26"/>
      <c r="G187" s="26"/>
      <c r="H187" s="26"/>
      <c r="I187" s="26"/>
      <c r="J187" s="26"/>
      <c r="K187" s="26"/>
    </row>
    <row r="188" customFormat="false" ht="15" hidden="false" customHeight="false" outlineLevel="0" collapsed="false">
      <c r="A188" s="10" t="n">
        <f aca="false">A187+1</f>
        <v>186</v>
      </c>
      <c r="B188" s="11" t="str">
        <f aca="false">com.sun.star.sheet.addin.Analysis.getDec2Hex(2560+A188)</f>
        <v>ABA</v>
      </c>
      <c r="C188" s="11"/>
      <c r="D188" s="26" t="s">
        <v>436</v>
      </c>
      <c r="E188" s="26"/>
      <c r="F188" s="26"/>
      <c r="G188" s="26"/>
      <c r="H188" s="26"/>
      <c r="I188" s="26"/>
      <c r="J188" s="26"/>
      <c r="K188" s="26"/>
    </row>
    <row r="189" customFormat="false" ht="15" hidden="false" customHeight="false" outlineLevel="0" collapsed="false">
      <c r="A189" s="10" t="n">
        <f aca="false">A188+1</f>
        <v>187</v>
      </c>
      <c r="B189" s="11" t="str">
        <f aca="false">com.sun.star.sheet.addin.Analysis.getDec2Hex(2560+A189)</f>
        <v>ABB</v>
      </c>
      <c r="C189" s="11"/>
      <c r="D189" s="26" t="s">
        <v>437</v>
      </c>
      <c r="E189" s="26"/>
      <c r="F189" s="26"/>
      <c r="G189" s="26"/>
      <c r="H189" s="26"/>
      <c r="I189" s="26"/>
      <c r="J189" s="26"/>
      <c r="K189" s="26"/>
    </row>
    <row r="190" customFormat="false" ht="15" hidden="false" customHeight="false" outlineLevel="0" collapsed="false">
      <c r="A190" s="10" t="n">
        <f aca="false">A189+1</f>
        <v>188</v>
      </c>
      <c r="B190" s="11" t="str">
        <f aca="false">com.sun.star.sheet.addin.Analysis.getDec2Hex(2560+A190)</f>
        <v>ABC</v>
      </c>
      <c r="C190" s="11"/>
      <c r="D190" s="26" t="s">
        <v>438</v>
      </c>
      <c r="E190" s="26"/>
      <c r="F190" s="26"/>
      <c r="G190" s="26"/>
      <c r="H190" s="26"/>
      <c r="I190" s="26"/>
      <c r="J190" s="26"/>
      <c r="K190" s="26"/>
    </row>
    <row r="191" customFormat="false" ht="15" hidden="false" customHeight="false" outlineLevel="0" collapsed="false">
      <c r="A191" s="10" t="n">
        <f aca="false">A190+1</f>
        <v>189</v>
      </c>
      <c r="B191" s="11" t="str">
        <f aca="false">com.sun.star.sheet.addin.Analysis.getDec2Hex(2560+A191)</f>
        <v>ABD</v>
      </c>
      <c r="C191" s="11"/>
      <c r="D191" s="26" t="s">
        <v>439</v>
      </c>
      <c r="E191" s="26"/>
      <c r="F191" s="26"/>
      <c r="G191" s="26"/>
      <c r="H191" s="26"/>
      <c r="I191" s="26"/>
      <c r="J191" s="26"/>
      <c r="K191" s="26"/>
    </row>
    <row r="192" customFormat="false" ht="15" hidden="false" customHeight="false" outlineLevel="0" collapsed="false">
      <c r="A192" s="10" t="n">
        <f aca="false">A191+1</f>
        <v>190</v>
      </c>
      <c r="B192" s="11" t="str">
        <f aca="false">com.sun.star.sheet.addin.Analysis.getDec2Hex(2560+A192)</f>
        <v>ABE</v>
      </c>
      <c r="C192" s="11"/>
      <c r="D192" s="26" t="s">
        <v>440</v>
      </c>
      <c r="E192" s="26"/>
      <c r="F192" s="26"/>
      <c r="G192" s="26"/>
      <c r="H192" s="26"/>
      <c r="I192" s="26"/>
      <c r="J192" s="26"/>
      <c r="K192" s="26"/>
    </row>
    <row r="193" s="62" customFormat="true" ht="15" hidden="false" customHeight="false" outlineLevel="0" collapsed="false">
      <c r="A193" s="54" t="n">
        <f aca="false">A192+1</f>
        <v>191</v>
      </c>
      <c r="B193" s="55" t="str">
        <f aca="false">com.sun.star.sheet.addin.Analysis.getDec2Hex(2560+A193)</f>
        <v>ABF</v>
      </c>
      <c r="C193" s="55"/>
      <c r="D193" s="152" t="s">
        <v>441</v>
      </c>
      <c r="E193" s="152"/>
      <c r="F193" s="152"/>
      <c r="G193" s="152"/>
      <c r="H193" s="152"/>
      <c r="I193" s="152"/>
      <c r="J193" s="152"/>
      <c r="K193" s="152"/>
      <c r="L193" s="148"/>
      <c r="M193" s="149"/>
      <c r="N193" s="149"/>
    </row>
    <row r="194" customFormat="false" ht="15" hidden="false" customHeight="false" outlineLevel="0" collapsed="false">
      <c r="A194" s="63" t="n">
        <f aca="false">A193+1</f>
        <v>192</v>
      </c>
      <c r="B194" s="64" t="str">
        <f aca="false">com.sun.star.sheet.addin.Analysis.getDec2Hex(2560+A194)</f>
        <v>AC0</v>
      </c>
      <c r="C194" s="64"/>
      <c r="D194" s="46" t="s">
        <v>442</v>
      </c>
      <c r="E194" s="46"/>
      <c r="F194" s="46"/>
      <c r="G194" s="46"/>
      <c r="H194" s="46"/>
      <c r="I194" s="46"/>
      <c r="J194" s="46"/>
      <c r="K194" s="46"/>
    </row>
    <row r="195" customFormat="false" ht="15" hidden="false" customHeight="false" outlineLevel="0" collapsed="false">
      <c r="A195" s="10" t="n">
        <f aca="false">A194+1</f>
        <v>193</v>
      </c>
      <c r="B195" s="11" t="str">
        <f aca="false">com.sun.star.sheet.addin.Analysis.getDec2Hex(2560+A195)</f>
        <v>AC1</v>
      </c>
      <c r="C195" s="11"/>
      <c r="D195" s="26" t="s">
        <v>443</v>
      </c>
      <c r="E195" s="26"/>
      <c r="F195" s="26"/>
      <c r="G195" s="26"/>
      <c r="H195" s="26"/>
      <c r="I195" s="26"/>
      <c r="J195" s="26"/>
      <c r="K195" s="26"/>
    </row>
    <row r="196" customFormat="false" ht="15" hidden="false" customHeight="false" outlineLevel="0" collapsed="false">
      <c r="A196" s="10" t="n">
        <f aca="false">A195+1</f>
        <v>194</v>
      </c>
      <c r="B196" s="11" t="str">
        <f aca="false">com.sun.star.sheet.addin.Analysis.getDec2Hex(2560+A196)</f>
        <v>AC2</v>
      </c>
      <c r="C196" s="11"/>
      <c r="D196" s="26" t="s">
        <v>444</v>
      </c>
      <c r="E196" s="26"/>
      <c r="F196" s="26"/>
      <c r="G196" s="26"/>
      <c r="H196" s="26"/>
      <c r="I196" s="26"/>
      <c r="J196" s="26"/>
      <c r="K196" s="26"/>
    </row>
    <row r="197" customFormat="false" ht="15" hidden="false" customHeight="false" outlineLevel="0" collapsed="false">
      <c r="A197" s="10" t="n">
        <f aca="false">A196+1</f>
        <v>195</v>
      </c>
      <c r="B197" s="11" t="str">
        <f aca="false">com.sun.star.sheet.addin.Analysis.getDec2Hex(2560+A197)</f>
        <v>AC3</v>
      </c>
      <c r="C197" s="11"/>
      <c r="D197" s="26" t="s">
        <v>445</v>
      </c>
      <c r="E197" s="26"/>
      <c r="F197" s="26"/>
      <c r="G197" s="26"/>
      <c r="H197" s="26"/>
      <c r="I197" s="26"/>
      <c r="J197" s="26"/>
      <c r="K197" s="26"/>
    </row>
    <row r="198" customFormat="false" ht="15" hidden="false" customHeight="false" outlineLevel="0" collapsed="false">
      <c r="A198" s="10" t="n">
        <f aca="false">A197+1</f>
        <v>196</v>
      </c>
      <c r="B198" s="11" t="str">
        <f aca="false">com.sun.star.sheet.addin.Analysis.getDec2Hex(2560+A198)</f>
        <v>AC4</v>
      </c>
      <c r="C198" s="11"/>
      <c r="D198" s="26" t="s">
        <v>446</v>
      </c>
      <c r="E198" s="26"/>
      <c r="F198" s="26"/>
      <c r="G198" s="26"/>
      <c r="H198" s="26"/>
      <c r="I198" s="26"/>
      <c r="J198" s="26"/>
      <c r="K198" s="26"/>
    </row>
    <row r="199" customFormat="false" ht="15" hidden="false" customHeight="false" outlineLevel="0" collapsed="false">
      <c r="A199" s="10" t="n">
        <f aca="false">A198+1</f>
        <v>197</v>
      </c>
      <c r="B199" s="11" t="str">
        <f aca="false">com.sun.star.sheet.addin.Analysis.getDec2Hex(2560+A199)</f>
        <v>AC5</v>
      </c>
      <c r="C199" s="11"/>
      <c r="D199" s="97"/>
      <c r="E199" s="10"/>
      <c r="F199" s="10"/>
      <c r="G199" s="99"/>
      <c r="H199" s="96"/>
      <c r="I199" s="10"/>
      <c r="J199" s="10"/>
      <c r="K199" s="99"/>
    </row>
    <row r="200" customFormat="false" ht="15" hidden="false" customHeight="false" outlineLevel="0" collapsed="false">
      <c r="A200" s="10" t="n">
        <f aca="false">A199+1</f>
        <v>198</v>
      </c>
      <c r="B200" s="11" t="str">
        <f aca="false">com.sun.star.sheet.addin.Analysis.getDec2Hex(2560+A200)</f>
        <v>AC6</v>
      </c>
      <c r="C200" s="11"/>
      <c r="D200" s="26" t="s">
        <v>447</v>
      </c>
      <c r="E200" s="26"/>
      <c r="F200" s="26"/>
      <c r="G200" s="26"/>
      <c r="H200" s="26"/>
      <c r="I200" s="26"/>
      <c r="J200" s="26"/>
      <c r="K200" s="26"/>
    </row>
    <row r="201" customFormat="false" ht="15" hidden="false" customHeight="false" outlineLevel="0" collapsed="false">
      <c r="A201" s="10" t="n">
        <f aca="false">A200+1</f>
        <v>199</v>
      </c>
      <c r="B201" s="11" t="str">
        <f aca="false">com.sun.star.sheet.addin.Analysis.getDec2Hex(2560+A201)</f>
        <v>AC7</v>
      </c>
      <c r="C201" s="11"/>
      <c r="D201" s="97"/>
      <c r="E201" s="10"/>
      <c r="F201" s="10"/>
      <c r="G201" s="99"/>
      <c r="H201" s="96"/>
      <c r="I201" s="10"/>
      <c r="J201" s="10"/>
      <c r="K201" s="99"/>
    </row>
    <row r="202" customFormat="false" ht="15" hidden="false" customHeight="false" outlineLevel="0" collapsed="false">
      <c r="A202" s="10" t="n">
        <f aca="false">A201+1</f>
        <v>200</v>
      </c>
      <c r="B202" s="11" t="str">
        <f aca="false">com.sun.star.sheet.addin.Analysis.getDec2Hex(2560+A202)</f>
        <v>AC8</v>
      </c>
      <c r="C202" s="11"/>
      <c r="D202" s="129" t="s">
        <v>559</v>
      </c>
      <c r="E202" s="129"/>
      <c r="F202" s="129"/>
      <c r="G202" s="129"/>
      <c r="H202" s="129"/>
      <c r="I202" s="129"/>
      <c r="J202" s="129"/>
      <c r="K202" s="129"/>
    </row>
    <row r="203" customFormat="false" ht="15" hidden="false" customHeight="false" outlineLevel="0" collapsed="false">
      <c r="A203" s="10" t="n">
        <f aca="false">A202+1</f>
        <v>201</v>
      </c>
      <c r="B203" s="11" t="str">
        <f aca="false">com.sun.star.sheet.addin.Analysis.getDec2Hex(2560+A203)</f>
        <v>AC9</v>
      </c>
      <c r="C203" s="11"/>
      <c r="D203" s="97"/>
      <c r="E203" s="10"/>
      <c r="F203" s="10"/>
      <c r="G203" s="99"/>
      <c r="H203" s="96"/>
      <c r="I203" s="10"/>
      <c r="J203" s="10"/>
      <c r="K203" s="99"/>
    </row>
    <row r="204" customFormat="false" ht="15" hidden="false" customHeight="false" outlineLevel="0" collapsed="false">
      <c r="A204" s="10" t="n">
        <f aca="false">A203+1</f>
        <v>202</v>
      </c>
      <c r="B204" s="11" t="str">
        <f aca="false">com.sun.star.sheet.addin.Analysis.getDec2Hex(2560+A204)</f>
        <v>ACA</v>
      </c>
      <c r="C204" s="11"/>
      <c r="D204" s="26" t="s">
        <v>448</v>
      </c>
      <c r="E204" s="26"/>
      <c r="F204" s="26"/>
      <c r="G204" s="26"/>
      <c r="H204" s="26"/>
      <c r="I204" s="26"/>
      <c r="J204" s="26"/>
      <c r="K204" s="26"/>
    </row>
    <row r="205" customFormat="false" ht="15" hidden="false" customHeight="false" outlineLevel="0" collapsed="false">
      <c r="A205" s="10" t="n">
        <f aca="false">A204+1</f>
        <v>203</v>
      </c>
      <c r="B205" s="11" t="str">
        <f aca="false">com.sun.star.sheet.addin.Analysis.getDec2Hex(2560+A205)</f>
        <v>ACB</v>
      </c>
      <c r="C205" s="11"/>
      <c r="D205" s="97"/>
      <c r="E205" s="10"/>
      <c r="F205" s="10"/>
      <c r="G205" s="99"/>
      <c r="H205" s="96"/>
      <c r="I205" s="10"/>
      <c r="J205" s="10"/>
      <c r="K205" s="99"/>
    </row>
    <row r="206" customFormat="false" ht="15" hidden="false" customHeight="false" outlineLevel="0" collapsed="false">
      <c r="A206" s="10" t="n">
        <f aca="false">A205+1</f>
        <v>204</v>
      </c>
      <c r="B206" s="11" t="str">
        <f aca="false">com.sun.star.sheet.addin.Analysis.getDec2Hex(2560+A206)</f>
        <v>ACC</v>
      </c>
      <c r="C206" s="11"/>
      <c r="D206" s="26" t="s">
        <v>448</v>
      </c>
      <c r="E206" s="26"/>
      <c r="F206" s="26"/>
      <c r="G206" s="26"/>
      <c r="H206" s="26"/>
      <c r="I206" s="26"/>
      <c r="J206" s="26"/>
      <c r="K206" s="26"/>
    </row>
    <row r="207" customFormat="false" ht="15" hidden="false" customHeight="false" outlineLevel="0" collapsed="false">
      <c r="A207" s="10" t="n">
        <f aca="false">A206+1</f>
        <v>205</v>
      </c>
      <c r="B207" s="11" t="str">
        <f aca="false">com.sun.star.sheet.addin.Analysis.getDec2Hex(2560+A207)</f>
        <v>ACD</v>
      </c>
      <c r="C207" s="11"/>
      <c r="D207" s="97"/>
      <c r="E207" s="10"/>
      <c r="F207" s="10"/>
      <c r="G207" s="99"/>
      <c r="H207" s="96"/>
      <c r="I207" s="10"/>
      <c r="J207" s="10"/>
      <c r="K207" s="99"/>
    </row>
    <row r="208" customFormat="false" ht="15" hidden="false" customHeight="false" outlineLevel="0" collapsed="false">
      <c r="A208" s="10" t="n">
        <f aca="false">A207+1</f>
        <v>206</v>
      </c>
      <c r="B208" s="11" t="str">
        <f aca="false">com.sun.star.sheet.addin.Analysis.getDec2Hex(2560+A208)</f>
        <v>ACE</v>
      </c>
      <c r="C208" s="11"/>
      <c r="D208" s="26" t="s">
        <v>449</v>
      </c>
      <c r="E208" s="26"/>
      <c r="F208" s="26"/>
      <c r="G208" s="26"/>
      <c r="H208" s="26"/>
      <c r="I208" s="26"/>
      <c r="J208" s="26"/>
      <c r="K208" s="26"/>
    </row>
    <row r="209" s="62" customFormat="true" ht="15" hidden="false" customHeight="false" outlineLevel="0" collapsed="false">
      <c r="A209" s="54" t="n">
        <f aca="false">A208+1</f>
        <v>207</v>
      </c>
      <c r="B209" s="55" t="str">
        <f aca="false">com.sun.star.sheet.addin.Analysis.getDec2Hex(2560+A209)</f>
        <v>ACF</v>
      </c>
      <c r="C209" s="55"/>
      <c r="D209" s="151"/>
      <c r="E209" s="54"/>
      <c r="F209" s="54"/>
      <c r="G209" s="103"/>
      <c r="H209" s="102"/>
      <c r="I209" s="54"/>
      <c r="J209" s="54"/>
      <c r="K209" s="103"/>
      <c r="L209" s="148"/>
      <c r="M209" s="149"/>
      <c r="N209" s="149"/>
    </row>
    <row r="210" customFormat="false" ht="15" hidden="false" customHeight="false" outlineLevel="0" collapsed="false">
      <c r="A210" s="63" t="n">
        <f aca="false">A209+1</f>
        <v>208</v>
      </c>
      <c r="B210" s="64" t="str">
        <f aca="false">com.sun.star.sheet.addin.Analysis.getDec2Hex(2560+A210)</f>
        <v>AD0</v>
      </c>
      <c r="C210" s="64"/>
      <c r="D210" s="46" t="s">
        <v>449</v>
      </c>
      <c r="E210" s="46"/>
      <c r="F210" s="46"/>
      <c r="G210" s="46"/>
      <c r="H210" s="46"/>
      <c r="I210" s="46"/>
      <c r="J210" s="46"/>
      <c r="K210" s="46"/>
    </row>
    <row r="211" customFormat="false" ht="15" hidden="false" customHeight="false" outlineLevel="0" collapsed="false">
      <c r="A211" s="10" t="n">
        <f aca="false">A210+1</f>
        <v>209</v>
      </c>
      <c r="B211" s="11" t="str">
        <f aca="false">com.sun.star.sheet.addin.Analysis.getDec2Hex(2560+A211)</f>
        <v>AD1</v>
      </c>
      <c r="C211" s="11"/>
      <c r="D211" s="97"/>
      <c r="E211" s="10"/>
      <c r="F211" s="10"/>
      <c r="G211" s="99"/>
      <c r="H211" s="96"/>
      <c r="I211" s="10"/>
      <c r="J211" s="10"/>
      <c r="K211" s="99"/>
    </row>
    <row r="212" customFormat="false" ht="15" hidden="false" customHeight="false" outlineLevel="0" collapsed="false">
      <c r="A212" s="10" t="n">
        <f aca="false">A211+1</f>
        <v>210</v>
      </c>
      <c r="B212" s="11" t="str">
        <f aca="false">com.sun.star.sheet.addin.Analysis.getDec2Hex(2560+A212)</f>
        <v>AD2</v>
      </c>
      <c r="C212" s="11"/>
      <c r="D212" s="97"/>
      <c r="E212" s="10"/>
      <c r="F212" s="10"/>
      <c r="G212" s="99"/>
      <c r="H212" s="96"/>
      <c r="I212" s="10"/>
      <c r="J212" s="10"/>
      <c r="K212" s="99"/>
    </row>
    <row r="213" customFormat="false" ht="15" hidden="false" customHeight="false" outlineLevel="0" collapsed="false">
      <c r="A213" s="10" t="n">
        <f aca="false">A212+1</f>
        <v>211</v>
      </c>
      <c r="B213" s="11" t="str">
        <f aca="false">com.sun.star.sheet.addin.Analysis.getDec2Hex(2560+A213)</f>
        <v>AD3</v>
      </c>
      <c r="C213" s="11"/>
      <c r="D213" s="97"/>
      <c r="E213" s="10"/>
      <c r="F213" s="10"/>
      <c r="G213" s="99"/>
      <c r="H213" s="96"/>
      <c r="I213" s="10"/>
      <c r="J213" s="10"/>
      <c r="K213" s="99"/>
    </row>
    <row r="214" customFormat="false" ht="15" hidden="false" customHeight="false" outlineLevel="0" collapsed="false">
      <c r="A214" s="10" t="n">
        <f aca="false">A213+1</f>
        <v>212</v>
      </c>
      <c r="B214" s="11" t="str">
        <f aca="false">com.sun.star.sheet.addin.Analysis.getDec2Hex(2560+A214)</f>
        <v>AD4</v>
      </c>
      <c r="C214" s="11"/>
      <c r="D214" s="26" t="s">
        <v>450</v>
      </c>
      <c r="E214" s="26"/>
      <c r="F214" s="26"/>
      <c r="G214" s="26"/>
      <c r="H214" s="26"/>
      <c r="I214" s="26"/>
      <c r="J214" s="26"/>
      <c r="K214" s="26"/>
    </row>
    <row r="215" customFormat="false" ht="15" hidden="false" customHeight="false" outlineLevel="0" collapsed="false">
      <c r="A215" s="10" t="n">
        <f aca="false">A214+1</f>
        <v>213</v>
      </c>
      <c r="B215" s="11" t="str">
        <f aca="false">com.sun.star.sheet.addin.Analysis.getDec2Hex(2560+A215)</f>
        <v>AD5</v>
      </c>
      <c r="C215" s="11"/>
      <c r="D215" s="97"/>
      <c r="E215" s="10"/>
      <c r="F215" s="10"/>
      <c r="G215" s="99"/>
      <c r="H215" s="96"/>
      <c r="I215" s="10"/>
      <c r="J215" s="10"/>
      <c r="K215" s="99"/>
    </row>
    <row r="216" customFormat="false" ht="15" hidden="false" customHeight="false" outlineLevel="0" collapsed="false">
      <c r="A216" s="10" t="n">
        <f aca="false">A215+1</f>
        <v>214</v>
      </c>
      <c r="B216" s="11" t="str">
        <f aca="false">com.sun.star.sheet.addin.Analysis.getDec2Hex(2560+A216)</f>
        <v>AD6</v>
      </c>
      <c r="C216" s="11"/>
      <c r="D216" s="26" t="s">
        <v>560</v>
      </c>
      <c r="E216" s="26"/>
      <c r="F216" s="26"/>
      <c r="G216" s="26"/>
      <c r="H216" s="26"/>
      <c r="I216" s="26"/>
      <c r="J216" s="26"/>
      <c r="K216" s="26"/>
    </row>
    <row r="217" customFormat="false" ht="15" hidden="false" customHeight="false" outlineLevel="0" collapsed="false">
      <c r="A217" s="10" t="n">
        <f aca="false">A216+1</f>
        <v>215</v>
      </c>
      <c r="B217" s="11" t="str">
        <f aca="false">com.sun.star.sheet.addin.Analysis.getDec2Hex(2560+A217)</f>
        <v>AD7</v>
      </c>
      <c r="C217" s="11"/>
      <c r="D217" s="26"/>
      <c r="E217" s="26"/>
      <c r="F217" s="26"/>
      <c r="G217" s="26"/>
      <c r="H217" s="26"/>
      <c r="I217" s="26"/>
      <c r="J217" s="26"/>
      <c r="K217" s="26"/>
    </row>
    <row r="218" customFormat="false" ht="15" hidden="false" customHeight="false" outlineLevel="0" collapsed="false">
      <c r="A218" s="10" t="n">
        <f aca="false">A217+1</f>
        <v>216</v>
      </c>
      <c r="B218" s="11" t="str">
        <f aca="false">com.sun.star.sheet.addin.Analysis.getDec2Hex(2560+A218)</f>
        <v>AD8</v>
      </c>
      <c r="C218" s="11"/>
      <c r="D218" s="26" t="s">
        <v>452</v>
      </c>
      <c r="E218" s="26"/>
      <c r="F218" s="26"/>
      <c r="G218" s="26"/>
      <c r="H218" s="26"/>
      <c r="I218" s="26"/>
      <c r="J218" s="26"/>
      <c r="K218" s="26"/>
    </row>
    <row r="219" customFormat="false" ht="15" hidden="false" customHeight="false" outlineLevel="0" collapsed="false">
      <c r="A219" s="10" t="n">
        <f aca="false">A218+1</f>
        <v>217</v>
      </c>
      <c r="B219" s="11" t="str">
        <f aca="false">com.sun.star.sheet.addin.Analysis.getDec2Hex(2560+A219)</f>
        <v>AD9</v>
      </c>
      <c r="C219" s="11"/>
      <c r="D219" s="26"/>
      <c r="E219" s="26"/>
      <c r="F219" s="26"/>
      <c r="G219" s="26"/>
      <c r="H219" s="26"/>
      <c r="I219" s="26"/>
      <c r="J219" s="26"/>
      <c r="K219" s="26"/>
    </row>
    <row r="220" customFormat="false" ht="15" hidden="false" customHeight="false" outlineLevel="0" collapsed="false">
      <c r="A220" s="10" t="n">
        <f aca="false">A219+1</f>
        <v>218</v>
      </c>
      <c r="B220" s="11" t="str">
        <f aca="false">com.sun.star.sheet.addin.Analysis.getDec2Hex(2560+A220)</f>
        <v>ADA</v>
      </c>
      <c r="C220" s="11"/>
      <c r="D220" s="26" t="s">
        <v>561</v>
      </c>
      <c r="E220" s="26"/>
      <c r="F220" s="26"/>
      <c r="G220" s="26"/>
      <c r="H220" s="26"/>
      <c r="I220" s="26"/>
      <c r="J220" s="26"/>
      <c r="K220" s="26"/>
    </row>
    <row r="221" customFormat="false" ht="15" hidden="false" customHeight="false" outlineLevel="0" collapsed="false">
      <c r="A221" s="10" t="n">
        <f aca="false">A220+1</f>
        <v>219</v>
      </c>
      <c r="B221" s="11" t="str">
        <f aca="false">com.sun.star.sheet.addin.Analysis.getDec2Hex(2560+A221)</f>
        <v>ADB</v>
      </c>
      <c r="C221" s="11"/>
      <c r="D221" s="26"/>
      <c r="E221" s="26"/>
      <c r="F221" s="26"/>
      <c r="G221" s="26"/>
      <c r="H221" s="26"/>
      <c r="I221" s="26"/>
      <c r="J221" s="26"/>
      <c r="K221" s="26"/>
    </row>
    <row r="222" customFormat="false" ht="15" hidden="false" customHeight="false" outlineLevel="0" collapsed="false">
      <c r="A222" s="10" t="n">
        <f aca="false">A221+1</f>
        <v>220</v>
      </c>
      <c r="B222" s="11" t="str">
        <f aca="false">com.sun.star.sheet.addin.Analysis.getDec2Hex(2560+A222)</f>
        <v>ADC</v>
      </c>
      <c r="C222" s="11"/>
      <c r="D222" s="26" t="s">
        <v>562</v>
      </c>
      <c r="E222" s="26"/>
      <c r="F222" s="26"/>
      <c r="G222" s="26"/>
      <c r="H222" s="26"/>
      <c r="I222" s="26"/>
      <c r="J222" s="26"/>
      <c r="K222" s="26"/>
    </row>
    <row r="223" customFormat="false" ht="15" hidden="false" customHeight="false" outlineLevel="0" collapsed="false">
      <c r="A223" s="10" t="n">
        <f aca="false">A222+1</f>
        <v>221</v>
      </c>
      <c r="B223" s="11" t="str">
        <f aca="false">com.sun.star.sheet.addin.Analysis.getDec2Hex(2560+A223)</f>
        <v>ADD</v>
      </c>
      <c r="C223" s="11"/>
      <c r="D223" s="97"/>
      <c r="E223" s="10"/>
      <c r="F223" s="10"/>
      <c r="G223" s="99"/>
      <c r="H223" s="96"/>
      <c r="I223" s="10"/>
      <c r="J223" s="10"/>
      <c r="K223" s="99"/>
    </row>
    <row r="224" customFormat="false" ht="15" hidden="false" customHeight="false" outlineLevel="0" collapsed="false">
      <c r="A224" s="10" t="n">
        <f aca="false">A223+1</f>
        <v>222</v>
      </c>
      <c r="B224" s="11" t="str">
        <f aca="false">com.sun.star.sheet.addin.Analysis.getDec2Hex(2560+A224)</f>
        <v>ADE</v>
      </c>
      <c r="C224" s="11"/>
      <c r="D224" s="26" t="s">
        <v>563</v>
      </c>
      <c r="E224" s="26"/>
      <c r="F224" s="26"/>
      <c r="G224" s="26"/>
      <c r="H224" s="26"/>
      <c r="I224" s="26"/>
      <c r="J224" s="26"/>
      <c r="K224" s="26"/>
    </row>
    <row r="225" s="62" customFormat="true" ht="15" hidden="false" customHeight="false" outlineLevel="0" collapsed="false">
      <c r="A225" s="54" t="n">
        <f aca="false">A224+1</f>
        <v>223</v>
      </c>
      <c r="B225" s="55" t="str">
        <f aca="false">com.sun.star.sheet.addin.Analysis.getDec2Hex(2560+A225)</f>
        <v>ADF</v>
      </c>
      <c r="C225" s="55"/>
      <c r="D225" s="151"/>
      <c r="E225" s="54"/>
      <c r="F225" s="54"/>
      <c r="G225" s="103"/>
      <c r="H225" s="102"/>
      <c r="I225" s="54"/>
      <c r="J225" s="54"/>
      <c r="K225" s="103"/>
      <c r="L225" s="148"/>
      <c r="M225" s="149"/>
      <c r="N225" s="149"/>
    </row>
    <row r="226" customFormat="false" ht="15" hidden="false" customHeight="false" outlineLevel="0" collapsed="false">
      <c r="A226" s="63" t="n">
        <f aca="false">A225+1</f>
        <v>224</v>
      </c>
      <c r="B226" s="64" t="str">
        <f aca="false">com.sun.star.sheet.addin.Analysis.getDec2Hex(2560+A226)</f>
        <v>AE0</v>
      </c>
      <c r="C226" s="64"/>
      <c r="D226" s="130" t="s">
        <v>564</v>
      </c>
      <c r="E226" s="130"/>
      <c r="F226" s="130"/>
      <c r="G226" s="130"/>
      <c r="H226" s="130"/>
      <c r="I226" s="130"/>
      <c r="J226" s="130"/>
      <c r="K226" s="130"/>
    </row>
    <row r="227" customFormat="false" ht="15" hidden="false" customHeight="false" outlineLevel="0" collapsed="false">
      <c r="A227" s="10" t="n">
        <f aca="false">A226+1</f>
        <v>225</v>
      </c>
      <c r="B227" s="11" t="str">
        <f aca="false">com.sun.star.sheet.addin.Analysis.getDec2Hex(2560+A227)</f>
        <v>AE1</v>
      </c>
      <c r="C227" s="11"/>
      <c r="D227" s="97"/>
      <c r="E227" s="10"/>
      <c r="F227" s="10"/>
      <c r="G227" s="99"/>
      <c r="H227" s="96"/>
      <c r="I227" s="10"/>
      <c r="J227" s="10"/>
      <c r="K227" s="99"/>
    </row>
    <row r="228" customFormat="false" ht="15" hidden="false" customHeight="false" outlineLevel="0" collapsed="false">
      <c r="A228" s="10" t="n">
        <f aca="false">A227+1</f>
        <v>226</v>
      </c>
      <c r="B228" s="11" t="str">
        <f aca="false">com.sun.star.sheet.addin.Analysis.getDec2Hex(2560+A228)</f>
        <v>AE2</v>
      </c>
      <c r="C228" s="11"/>
      <c r="D228" s="97"/>
      <c r="E228" s="10"/>
      <c r="F228" s="10"/>
      <c r="G228" s="99"/>
      <c r="H228" s="96"/>
      <c r="I228" s="10"/>
      <c r="J228" s="10"/>
      <c r="K228" s="99"/>
    </row>
    <row r="229" customFormat="false" ht="15" hidden="false" customHeight="false" outlineLevel="0" collapsed="false">
      <c r="A229" s="10" t="n">
        <f aca="false">A228+1</f>
        <v>227</v>
      </c>
      <c r="B229" s="11" t="str">
        <f aca="false">com.sun.star.sheet.addin.Analysis.getDec2Hex(2560+A229)</f>
        <v>AE3</v>
      </c>
      <c r="C229" s="11"/>
      <c r="D229" s="97"/>
      <c r="E229" s="10"/>
      <c r="F229" s="10"/>
      <c r="G229" s="99"/>
      <c r="H229" s="96"/>
      <c r="I229" s="10"/>
      <c r="J229" s="10"/>
      <c r="K229" s="99"/>
    </row>
    <row r="230" customFormat="false" ht="15" hidden="false" customHeight="false" outlineLevel="0" collapsed="false">
      <c r="A230" s="10" t="n">
        <f aca="false">A229+1</f>
        <v>228</v>
      </c>
      <c r="B230" s="11" t="str">
        <f aca="false">com.sun.star.sheet.addin.Analysis.getDec2Hex(2560+A230)</f>
        <v>AE4</v>
      </c>
      <c r="C230" s="11"/>
      <c r="D230" s="97"/>
      <c r="E230" s="10"/>
      <c r="F230" s="10"/>
      <c r="G230" s="99"/>
      <c r="H230" s="96"/>
      <c r="I230" s="10"/>
      <c r="J230" s="10"/>
      <c r="K230" s="99"/>
    </row>
    <row r="231" customFormat="false" ht="15" hidden="false" customHeight="false" outlineLevel="0" collapsed="false">
      <c r="A231" s="10" t="n">
        <f aca="false">A230+1</f>
        <v>229</v>
      </c>
      <c r="B231" s="11" t="str">
        <f aca="false">com.sun.star.sheet.addin.Analysis.getDec2Hex(2560+A231)</f>
        <v>AE5</v>
      </c>
      <c r="C231" s="11"/>
      <c r="D231" s="97"/>
      <c r="E231" s="10"/>
      <c r="F231" s="10"/>
      <c r="G231" s="99"/>
      <c r="H231" s="96"/>
      <c r="I231" s="10"/>
      <c r="J231" s="10"/>
      <c r="K231" s="99"/>
    </row>
    <row r="232" customFormat="false" ht="15" hidden="false" customHeight="false" outlineLevel="0" collapsed="false">
      <c r="A232" s="10" t="n">
        <f aca="false">A231+1</f>
        <v>230</v>
      </c>
      <c r="B232" s="11" t="str">
        <f aca="false">com.sun.star.sheet.addin.Analysis.getDec2Hex(2560+A232)</f>
        <v>AE6</v>
      </c>
      <c r="C232" s="11"/>
      <c r="D232" s="97"/>
      <c r="E232" s="10"/>
      <c r="F232" s="10"/>
      <c r="G232" s="99"/>
      <c r="H232" s="96"/>
      <c r="I232" s="10"/>
      <c r="J232" s="10"/>
      <c r="K232" s="99"/>
    </row>
    <row r="233" customFormat="false" ht="15" hidden="false" customHeight="false" outlineLevel="0" collapsed="false">
      <c r="A233" s="10" t="n">
        <f aca="false">A232+1</f>
        <v>231</v>
      </c>
      <c r="B233" s="11" t="str">
        <f aca="false">com.sun.star.sheet.addin.Analysis.getDec2Hex(2560+A233)</f>
        <v>AE7</v>
      </c>
      <c r="C233" s="11"/>
      <c r="D233" s="97"/>
      <c r="E233" s="10"/>
      <c r="F233" s="10"/>
      <c r="G233" s="99"/>
      <c r="H233" s="96"/>
      <c r="I233" s="10"/>
      <c r="J233" s="10"/>
      <c r="K233" s="99"/>
    </row>
    <row r="234" customFormat="false" ht="15" hidden="false" customHeight="false" outlineLevel="0" collapsed="false">
      <c r="A234" s="10" t="n">
        <f aca="false">A233+1</f>
        <v>232</v>
      </c>
      <c r="B234" s="11" t="str">
        <f aca="false">com.sun.star.sheet.addin.Analysis.getDec2Hex(2560+A234)</f>
        <v>AE8</v>
      </c>
      <c r="C234" s="11"/>
      <c r="D234" s="153" t="s">
        <v>455</v>
      </c>
      <c r="E234" s="153"/>
      <c r="F234" s="153"/>
      <c r="G234" s="153"/>
      <c r="H234" s="153"/>
      <c r="I234" s="153"/>
      <c r="J234" s="153"/>
      <c r="K234" s="153"/>
    </row>
    <row r="235" customFormat="false" ht="15" hidden="false" customHeight="false" outlineLevel="0" collapsed="false">
      <c r="A235" s="10" t="n">
        <f aca="false">A234+1</f>
        <v>233</v>
      </c>
      <c r="B235" s="11" t="str">
        <f aca="false">com.sun.star.sheet.addin.Analysis.getDec2Hex(2560+A235)</f>
        <v>AE9</v>
      </c>
      <c r="C235" s="11"/>
      <c r="D235" s="97"/>
      <c r="E235" s="10"/>
      <c r="F235" s="10"/>
      <c r="G235" s="99"/>
      <c r="H235" s="96"/>
      <c r="I235" s="10"/>
      <c r="J235" s="10"/>
      <c r="K235" s="99"/>
    </row>
    <row r="236" customFormat="false" ht="15" hidden="false" customHeight="false" outlineLevel="0" collapsed="false">
      <c r="A236" s="10" t="n">
        <f aca="false">A235+1</f>
        <v>234</v>
      </c>
      <c r="B236" s="11" t="str">
        <f aca="false">com.sun.star.sheet.addin.Analysis.getDec2Hex(2560+A236)</f>
        <v>AEA</v>
      </c>
      <c r="C236" s="11"/>
      <c r="D236" s="97"/>
      <c r="E236" s="10"/>
      <c r="F236" s="10"/>
      <c r="G236" s="99"/>
      <c r="H236" s="96"/>
      <c r="I236" s="10"/>
      <c r="J236" s="10"/>
      <c r="K236" s="99"/>
    </row>
    <row r="237" customFormat="false" ht="15" hidden="false" customHeight="false" outlineLevel="0" collapsed="false">
      <c r="A237" s="10" t="n">
        <f aca="false">A236+1</f>
        <v>235</v>
      </c>
      <c r="B237" s="11" t="str">
        <f aca="false">com.sun.star.sheet.addin.Analysis.getDec2Hex(2560+A237)</f>
        <v>AEB</v>
      </c>
      <c r="C237" s="11"/>
      <c r="D237" s="97"/>
      <c r="E237" s="10"/>
      <c r="F237" s="10"/>
      <c r="G237" s="99"/>
      <c r="H237" s="96"/>
      <c r="I237" s="10"/>
      <c r="J237" s="10"/>
      <c r="K237" s="99"/>
    </row>
    <row r="238" customFormat="false" ht="15" hidden="false" customHeight="false" outlineLevel="0" collapsed="false">
      <c r="A238" s="10" t="n">
        <f aca="false">A237+1</f>
        <v>236</v>
      </c>
      <c r="B238" s="11" t="str">
        <f aca="false">com.sun.star.sheet.addin.Analysis.getDec2Hex(2560+A238)</f>
        <v>AEC</v>
      </c>
      <c r="C238" s="11"/>
      <c r="D238" s="131" t="s">
        <v>456</v>
      </c>
      <c r="E238" s="131"/>
      <c r="F238" s="131"/>
      <c r="G238" s="131"/>
      <c r="H238" s="131"/>
      <c r="I238" s="131"/>
      <c r="J238" s="131"/>
      <c r="K238" s="131"/>
    </row>
    <row r="239" customFormat="false" ht="15" hidden="false" customHeight="false" outlineLevel="0" collapsed="false">
      <c r="A239" s="10" t="n">
        <f aca="false">A238+1</f>
        <v>237</v>
      </c>
      <c r="B239" s="11" t="str">
        <f aca="false">com.sun.star.sheet.addin.Analysis.getDec2Hex(2560+A239)</f>
        <v>AED</v>
      </c>
      <c r="C239" s="11"/>
      <c r="D239" s="131"/>
      <c r="E239" s="131"/>
      <c r="F239" s="131"/>
      <c r="G239" s="131"/>
      <c r="H239" s="131"/>
      <c r="I239" s="131"/>
      <c r="J239" s="131"/>
      <c r="K239" s="131"/>
    </row>
    <row r="240" customFormat="false" ht="15" hidden="false" customHeight="false" outlineLevel="0" collapsed="false">
      <c r="A240" s="10" t="n">
        <f aca="false">A239+1</f>
        <v>238</v>
      </c>
      <c r="B240" s="11" t="str">
        <f aca="false">com.sun.star.sheet.addin.Analysis.getDec2Hex(2560+A240)</f>
        <v>AEE</v>
      </c>
      <c r="C240" s="154"/>
      <c r="D240" s="155" t="s">
        <v>457</v>
      </c>
      <c r="E240" s="155"/>
      <c r="F240" s="155"/>
      <c r="G240" s="155"/>
      <c r="H240" s="155"/>
      <c r="I240" s="155"/>
      <c r="J240" s="155"/>
      <c r="K240" s="155"/>
    </row>
    <row r="241" s="62" customFormat="true" ht="15" hidden="false" customHeight="false" outlineLevel="0" collapsed="false">
      <c r="A241" s="54" t="n">
        <f aca="false">A240+1</f>
        <v>239</v>
      </c>
      <c r="B241" s="55" t="str">
        <f aca="false">com.sun.star.sheet.addin.Analysis.getDec2Hex(2560+A241)</f>
        <v>AEF</v>
      </c>
      <c r="C241" s="147"/>
      <c r="D241" s="155"/>
      <c r="E241" s="155"/>
      <c r="F241" s="155"/>
      <c r="G241" s="155"/>
      <c r="H241" s="155"/>
      <c r="I241" s="155"/>
      <c r="J241" s="155"/>
      <c r="K241" s="155"/>
      <c r="L241" s="148"/>
      <c r="M241" s="149"/>
      <c r="N241" s="149"/>
    </row>
    <row r="242" s="139" customFormat="true" ht="15" hidden="false" customHeight="false" outlineLevel="0" collapsed="false">
      <c r="A242" s="134" t="n">
        <f aca="false">A241+1</f>
        <v>240</v>
      </c>
      <c r="B242" s="135" t="str">
        <f aca="false">com.sun.star.sheet.addin.Analysis.getDec2Hex(2560+A242)</f>
        <v>AF0</v>
      </c>
      <c r="C242" s="135"/>
      <c r="D242" s="156"/>
      <c r="E242" s="134"/>
      <c r="F242" s="134"/>
      <c r="G242" s="138"/>
      <c r="H242" s="137"/>
      <c r="I242" s="134"/>
      <c r="J242" s="134"/>
      <c r="K242" s="138"/>
      <c r="L242" s="157"/>
      <c r="M242" s="158"/>
      <c r="N242" s="158"/>
    </row>
    <row r="243" s="139" customFormat="true" ht="15" hidden="false" customHeight="false" outlineLevel="0" collapsed="false">
      <c r="A243" s="100" t="n">
        <f aca="false">A242+1</f>
        <v>241</v>
      </c>
      <c r="B243" s="140" t="str">
        <f aca="false">com.sun.star.sheet.addin.Analysis.getDec2Hex(2560+A243)</f>
        <v>AF1</v>
      </c>
      <c r="C243" s="140"/>
      <c r="D243" s="159"/>
      <c r="E243" s="100"/>
      <c r="F243" s="100"/>
      <c r="G243" s="98"/>
      <c r="H243" s="142"/>
      <c r="I243" s="100"/>
      <c r="J243" s="100"/>
      <c r="K243" s="98"/>
      <c r="L243" s="157"/>
      <c r="M243" s="158"/>
      <c r="N243" s="158"/>
    </row>
    <row r="244" s="139" customFormat="true" ht="15" hidden="false" customHeight="false" outlineLevel="0" collapsed="false">
      <c r="A244" s="100" t="n">
        <f aca="false">A243+1</f>
        <v>242</v>
      </c>
      <c r="B244" s="140" t="str">
        <f aca="false">com.sun.star.sheet.addin.Analysis.getDec2Hex(2560+A244)</f>
        <v>AF2</v>
      </c>
      <c r="C244" s="140"/>
      <c r="D244" s="159"/>
      <c r="E244" s="100"/>
      <c r="F244" s="100"/>
      <c r="G244" s="98"/>
      <c r="H244" s="142"/>
      <c r="I244" s="100"/>
      <c r="J244" s="100"/>
      <c r="K244" s="98"/>
      <c r="L244" s="157"/>
      <c r="M244" s="158"/>
      <c r="N244" s="158"/>
    </row>
    <row r="245" s="139" customFormat="true" ht="15" hidden="false" customHeight="false" outlineLevel="0" collapsed="false">
      <c r="A245" s="100" t="n">
        <f aca="false">A244+1</f>
        <v>243</v>
      </c>
      <c r="B245" s="140" t="str">
        <f aca="false">com.sun.star.sheet.addin.Analysis.getDec2Hex(2560+A245)</f>
        <v>AF3</v>
      </c>
      <c r="C245" s="140"/>
      <c r="D245" s="159"/>
      <c r="E245" s="100"/>
      <c r="F245" s="100"/>
      <c r="G245" s="98"/>
      <c r="H245" s="142"/>
      <c r="I245" s="100"/>
      <c r="J245" s="100"/>
      <c r="K245" s="98"/>
      <c r="L245" s="157"/>
      <c r="M245" s="158"/>
      <c r="N245" s="158"/>
    </row>
    <row r="246" s="139" customFormat="true" ht="15" hidden="false" customHeight="false" outlineLevel="0" collapsed="false">
      <c r="A246" s="100" t="n">
        <f aca="false">A245+1</f>
        <v>244</v>
      </c>
      <c r="B246" s="140" t="str">
        <f aca="false">com.sun.star.sheet.addin.Analysis.getDec2Hex(2560+A246)</f>
        <v>AF4</v>
      </c>
      <c r="C246" s="140"/>
      <c r="D246" s="159"/>
      <c r="E246" s="100"/>
      <c r="F246" s="100"/>
      <c r="G246" s="98"/>
      <c r="H246" s="142"/>
      <c r="I246" s="100"/>
      <c r="J246" s="100"/>
      <c r="K246" s="98"/>
      <c r="L246" s="157"/>
      <c r="M246" s="158"/>
      <c r="N246" s="158"/>
    </row>
    <row r="247" s="139" customFormat="true" ht="15" hidden="false" customHeight="false" outlineLevel="0" collapsed="false">
      <c r="A247" s="100" t="n">
        <f aca="false">A246+1</f>
        <v>245</v>
      </c>
      <c r="B247" s="140" t="str">
        <f aca="false">com.sun.star.sheet.addin.Analysis.getDec2Hex(2560+A247)</f>
        <v>AF5</v>
      </c>
      <c r="C247" s="140"/>
      <c r="D247" s="159"/>
      <c r="E247" s="100"/>
      <c r="F247" s="100"/>
      <c r="G247" s="98"/>
      <c r="H247" s="142"/>
      <c r="I247" s="100"/>
      <c r="J247" s="100"/>
      <c r="K247" s="98"/>
      <c r="L247" s="157"/>
      <c r="M247" s="158"/>
      <c r="N247" s="158"/>
    </row>
    <row r="248" s="139" customFormat="true" ht="15" hidden="false" customHeight="false" outlineLevel="0" collapsed="false">
      <c r="A248" s="100" t="n">
        <f aca="false">A247+1</f>
        <v>246</v>
      </c>
      <c r="B248" s="140" t="str">
        <f aca="false">com.sun.star.sheet.addin.Analysis.getDec2Hex(2560+A248)</f>
        <v>AF6</v>
      </c>
      <c r="C248" s="140"/>
      <c r="D248" s="159"/>
      <c r="E248" s="100"/>
      <c r="F248" s="100"/>
      <c r="G248" s="98"/>
      <c r="H248" s="142"/>
      <c r="I248" s="100"/>
      <c r="J248" s="100"/>
      <c r="K248" s="98"/>
      <c r="L248" s="157"/>
      <c r="M248" s="158"/>
      <c r="N248" s="158"/>
    </row>
    <row r="249" s="139" customFormat="true" ht="15" hidden="false" customHeight="false" outlineLevel="0" collapsed="false">
      <c r="A249" s="100" t="n">
        <f aca="false">A248+1</f>
        <v>247</v>
      </c>
      <c r="B249" s="140" t="str">
        <f aca="false">com.sun.star.sheet.addin.Analysis.getDec2Hex(2560+A249)</f>
        <v>AF7</v>
      </c>
      <c r="C249" s="140"/>
      <c r="D249" s="159"/>
      <c r="E249" s="100"/>
      <c r="F249" s="100"/>
      <c r="G249" s="98"/>
      <c r="H249" s="142"/>
      <c r="I249" s="100"/>
      <c r="J249" s="100"/>
      <c r="K249" s="98"/>
      <c r="L249" s="157"/>
      <c r="M249" s="158"/>
      <c r="N249" s="158"/>
    </row>
    <row r="250" customFormat="false" ht="15" hidden="false" customHeight="false" outlineLevel="0" collapsed="false">
      <c r="A250" s="10" t="n">
        <f aca="false">A249+1</f>
        <v>248</v>
      </c>
      <c r="B250" s="11" t="str">
        <f aca="false">com.sun.star.sheet.addin.Analysis.getDec2Hex(2560+A250)</f>
        <v>AF8</v>
      </c>
      <c r="C250" s="11"/>
      <c r="D250" s="143" t="s">
        <v>565</v>
      </c>
      <c r="E250" s="143"/>
      <c r="F250" s="143"/>
      <c r="G250" s="143"/>
      <c r="H250" s="143"/>
      <c r="I250" s="143"/>
      <c r="J250" s="143"/>
      <c r="K250" s="143"/>
    </row>
    <row r="251" customFormat="false" ht="15" hidden="false" customHeight="false" outlineLevel="0" collapsed="false">
      <c r="A251" s="10" t="n">
        <f aca="false">A250+1</f>
        <v>249</v>
      </c>
      <c r="B251" s="11" t="str">
        <f aca="false">com.sun.star.sheet.addin.Analysis.getDec2Hex(2560+A251)</f>
        <v>AF9</v>
      </c>
      <c r="C251" s="11"/>
      <c r="D251" s="97"/>
      <c r="E251" s="10"/>
      <c r="F251" s="10"/>
      <c r="G251" s="99"/>
      <c r="H251" s="96"/>
      <c r="I251" s="10"/>
      <c r="J251" s="10"/>
      <c r="K251" s="99"/>
    </row>
    <row r="252" customFormat="false" ht="15" hidden="false" customHeight="false" outlineLevel="0" collapsed="false">
      <c r="A252" s="10" t="n">
        <f aca="false">A251+1</f>
        <v>250</v>
      </c>
      <c r="B252" s="11" t="str">
        <f aca="false">com.sun.star.sheet.addin.Analysis.getDec2Hex(2560+A252)</f>
        <v>AFA</v>
      </c>
      <c r="C252" s="11"/>
      <c r="D252" s="97"/>
      <c r="E252" s="10"/>
      <c r="F252" s="10"/>
      <c r="G252" s="99"/>
      <c r="H252" s="96"/>
      <c r="I252" s="10"/>
      <c r="J252" s="10"/>
      <c r="K252" s="99"/>
    </row>
    <row r="253" customFormat="false" ht="15" hidden="false" customHeight="false" outlineLevel="0" collapsed="false">
      <c r="A253" s="10" t="n">
        <f aca="false">A252+1</f>
        <v>251</v>
      </c>
      <c r="B253" s="11" t="str">
        <f aca="false">com.sun.star.sheet.addin.Analysis.getDec2Hex(2560+A253)</f>
        <v>AFB</v>
      </c>
      <c r="C253" s="11"/>
      <c r="D253" s="97"/>
      <c r="E253" s="10"/>
      <c r="F253" s="10"/>
      <c r="G253" s="99"/>
      <c r="H253" s="96"/>
      <c r="I253" s="10"/>
      <c r="J253" s="10"/>
      <c r="K253" s="99"/>
    </row>
    <row r="254" customFormat="false" ht="15" hidden="false" customHeight="false" outlineLevel="0" collapsed="false">
      <c r="A254" s="10" t="n">
        <f aca="false">A253+1</f>
        <v>252</v>
      </c>
      <c r="B254" s="11" t="str">
        <f aca="false">com.sun.star.sheet.addin.Analysis.getDec2Hex(2560+A254)</f>
        <v>AFC</v>
      </c>
      <c r="C254" s="11"/>
      <c r="D254" s="97"/>
      <c r="E254" s="10"/>
      <c r="F254" s="10"/>
      <c r="G254" s="99"/>
      <c r="H254" s="96"/>
      <c r="I254" s="10"/>
      <c r="J254" s="10"/>
      <c r="K254" s="99"/>
    </row>
    <row r="255" customFormat="false" ht="15" hidden="false" customHeight="false" outlineLevel="0" collapsed="false">
      <c r="A255" s="10" t="n">
        <f aca="false">A254+1</f>
        <v>253</v>
      </c>
      <c r="B255" s="11" t="str">
        <f aca="false">com.sun.star.sheet.addin.Analysis.getDec2Hex(2560+A255)</f>
        <v>AFD</v>
      </c>
      <c r="C255" s="11"/>
      <c r="D255" s="97"/>
      <c r="E255" s="10"/>
      <c r="F255" s="10"/>
      <c r="G255" s="99"/>
      <c r="H255" s="96"/>
      <c r="I255" s="10"/>
      <c r="J255" s="10"/>
      <c r="K255" s="99"/>
    </row>
    <row r="256" customFormat="false" ht="15" hidden="false" customHeight="false" outlineLevel="0" collapsed="false">
      <c r="A256" s="10" t="n">
        <f aca="false">A255+1</f>
        <v>254</v>
      </c>
      <c r="B256" s="11" t="str">
        <f aca="false">com.sun.star.sheet.addin.Analysis.getDec2Hex(2560+A256)</f>
        <v>AFE</v>
      </c>
      <c r="C256" s="11"/>
      <c r="D256" s="97"/>
      <c r="E256" s="10"/>
      <c r="F256" s="10"/>
      <c r="G256" s="99"/>
      <c r="H256" s="96"/>
      <c r="I256" s="10"/>
      <c r="J256" s="10"/>
      <c r="K256" s="99"/>
    </row>
    <row r="257" s="62" customFormat="true" ht="15" hidden="false" customHeight="false" outlineLevel="0" collapsed="false">
      <c r="A257" s="54" t="n">
        <f aca="false">A256+1</f>
        <v>255</v>
      </c>
      <c r="B257" s="55" t="str">
        <f aca="false">com.sun.star.sheet.addin.Analysis.getDec2Hex(2560+A257)</f>
        <v>AFF</v>
      </c>
      <c r="C257" s="55"/>
      <c r="D257" s="151"/>
      <c r="E257" s="54"/>
      <c r="F257" s="54"/>
      <c r="G257" s="103"/>
      <c r="H257" s="102"/>
      <c r="I257" s="54"/>
      <c r="J257" s="54"/>
      <c r="K257" s="103"/>
      <c r="L257" s="148"/>
      <c r="M257" s="149"/>
      <c r="N257" s="149"/>
    </row>
    <row r="258" customFormat="false" ht="15" hidden="false" customHeight="false" outlineLevel="0" collapsed="false">
      <c r="A258" s="63" t="n">
        <f aca="false">A257+1</f>
        <v>256</v>
      </c>
      <c r="B258" s="64" t="str">
        <f aca="false">com.sun.star.sheet.addin.Analysis.getDec2Hex(2560+A258)</f>
        <v>B00</v>
      </c>
      <c r="C258" s="64"/>
      <c r="D258" s="93"/>
      <c r="E258" s="63"/>
      <c r="F258" s="63"/>
      <c r="G258" s="95"/>
      <c r="H258" s="92"/>
      <c r="I258" s="63"/>
      <c r="J258" s="63"/>
      <c r="K258" s="95"/>
    </row>
    <row r="259" customFormat="false" ht="15" hidden="false" customHeight="false" outlineLevel="0" collapsed="false">
      <c r="A259" s="10" t="n">
        <f aca="false">A258+1</f>
        <v>257</v>
      </c>
      <c r="B259" s="11" t="str">
        <f aca="false">com.sun.star.sheet.addin.Analysis.getDec2Hex(2560+A259)</f>
        <v>B01</v>
      </c>
      <c r="C259" s="11"/>
      <c r="D259" s="97"/>
      <c r="E259" s="10"/>
      <c r="F259" s="10"/>
      <c r="G259" s="99"/>
      <c r="H259" s="96"/>
      <c r="I259" s="10"/>
      <c r="J259" s="10"/>
      <c r="K259" s="99"/>
    </row>
    <row r="260" customFormat="false" ht="15" hidden="false" customHeight="false" outlineLevel="0" collapsed="false">
      <c r="A260" s="10" t="n">
        <f aca="false">A259+1</f>
        <v>258</v>
      </c>
      <c r="B260" s="11" t="str">
        <f aca="false">com.sun.star.sheet.addin.Analysis.getDec2Hex(2560+A260)</f>
        <v>B02</v>
      </c>
      <c r="C260" s="11"/>
      <c r="D260" s="97"/>
      <c r="E260" s="10"/>
      <c r="F260" s="10"/>
      <c r="G260" s="99"/>
      <c r="H260" s="96"/>
      <c r="I260" s="10"/>
      <c r="J260" s="10"/>
      <c r="K260" s="99"/>
    </row>
    <row r="261" customFormat="false" ht="15" hidden="false" customHeight="false" outlineLevel="0" collapsed="false">
      <c r="A261" s="10" t="n">
        <f aca="false">A260+1</f>
        <v>259</v>
      </c>
      <c r="B261" s="11" t="str">
        <f aca="false">com.sun.star.sheet.addin.Analysis.getDec2Hex(2560+A261)</f>
        <v>B03</v>
      </c>
      <c r="C261" s="11"/>
      <c r="D261" s="97"/>
      <c r="E261" s="10"/>
      <c r="F261" s="10"/>
      <c r="G261" s="99"/>
      <c r="H261" s="96"/>
      <c r="I261" s="10"/>
      <c r="J261" s="10"/>
      <c r="K261" s="99"/>
    </row>
    <row r="262" customFormat="false" ht="15" hidden="false" customHeight="false" outlineLevel="0" collapsed="false">
      <c r="A262" s="10" t="n">
        <f aca="false">A261+1</f>
        <v>260</v>
      </c>
      <c r="B262" s="11" t="str">
        <f aca="false">com.sun.star.sheet.addin.Analysis.getDec2Hex(2560+A262)</f>
        <v>B04</v>
      </c>
      <c r="C262" s="11"/>
      <c r="D262" s="97"/>
      <c r="E262" s="10"/>
      <c r="F262" s="10"/>
      <c r="G262" s="99"/>
      <c r="H262" s="96"/>
      <c r="I262" s="10"/>
      <c r="J262" s="10"/>
      <c r="K262" s="99"/>
    </row>
    <row r="263" customFormat="false" ht="15" hidden="false" customHeight="false" outlineLevel="0" collapsed="false">
      <c r="A263" s="10" t="n">
        <f aca="false">A262+1</f>
        <v>261</v>
      </c>
      <c r="B263" s="11" t="str">
        <f aca="false">com.sun.star.sheet.addin.Analysis.getDec2Hex(2560+A263)</f>
        <v>B05</v>
      </c>
      <c r="C263" s="11"/>
      <c r="D263" s="97"/>
      <c r="E263" s="10"/>
      <c r="F263" s="10"/>
      <c r="G263" s="99"/>
      <c r="H263" s="96"/>
      <c r="I263" s="10"/>
      <c r="J263" s="10"/>
      <c r="K263" s="99"/>
    </row>
    <row r="264" customFormat="false" ht="15" hidden="false" customHeight="false" outlineLevel="0" collapsed="false">
      <c r="A264" s="10" t="n">
        <f aca="false">A263+1</f>
        <v>262</v>
      </c>
      <c r="B264" s="11" t="str">
        <f aca="false">com.sun.star.sheet.addin.Analysis.getDec2Hex(2560+A264)</f>
        <v>B06</v>
      </c>
      <c r="C264" s="11"/>
      <c r="D264" s="97"/>
      <c r="E264" s="10"/>
      <c r="F264" s="10"/>
      <c r="G264" s="99"/>
      <c r="H264" s="96"/>
      <c r="I264" s="10"/>
      <c r="J264" s="10"/>
      <c r="K264" s="99"/>
    </row>
    <row r="265" customFormat="false" ht="15" hidden="false" customHeight="false" outlineLevel="0" collapsed="false">
      <c r="A265" s="10" t="n">
        <f aca="false">A264+1</f>
        <v>263</v>
      </c>
      <c r="B265" s="11" t="str">
        <f aca="false">com.sun.star.sheet.addin.Analysis.getDec2Hex(2560+A265)</f>
        <v>B07</v>
      </c>
      <c r="C265" s="11"/>
      <c r="D265" s="97"/>
      <c r="E265" s="10"/>
      <c r="F265" s="10"/>
      <c r="G265" s="99"/>
      <c r="H265" s="96"/>
      <c r="I265" s="10"/>
      <c r="J265" s="10"/>
      <c r="K265" s="99"/>
    </row>
    <row r="266" customFormat="false" ht="15" hidden="false" customHeight="false" outlineLevel="0" collapsed="false">
      <c r="A266" s="10" t="n">
        <f aca="false">A265+1</f>
        <v>264</v>
      </c>
      <c r="B266" s="11" t="str">
        <f aca="false">com.sun.star.sheet.addin.Analysis.getDec2Hex(2560+A266)</f>
        <v>B08</v>
      </c>
      <c r="C266" s="11"/>
      <c r="D266" s="97"/>
      <c r="E266" s="10"/>
      <c r="F266" s="10"/>
      <c r="G266" s="99"/>
      <c r="H266" s="96"/>
      <c r="I266" s="10"/>
      <c r="J266" s="10"/>
      <c r="K266" s="99"/>
    </row>
    <row r="267" customFormat="false" ht="15" hidden="false" customHeight="false" outlineLevel="0" collapsed="false">
      <c r="A267" s="10" t="n">
        <f aca="false">A266+1</f>
        <v>265</v>
      </c>
      <c r="B267" s="11" t="str">
        <f aca="false">com.sun.star.sheet.addin.Analysis.getDec2Hex(2560+A267)</f>
        <v>B09</v>
      </c>
      <c r="C267" s="11"/>
      <c r="D267" s="97"/>
      <c r="E267" s="10"/>
      <c r="F267" s="10"/>
      <c r="G267" s="99"/>
      <c r="H267" s="96"/>
      <c r="I267" s="10"/>
      <c r="J267" s="10"/>
      <c r="K267" s="99"/>
    </row>
    <row r="268" customFormat="false" ht="15" hidden="false" customHeight="false" outlineLevel="0" collapsed="false">
      <c r="A268" s="10" t="n">
        <f aca="false">A267+1</f>
        <v>266</v>
      </c>
      <c r="B268" s="11" t="str">
        <f aca="false">com.sun.star.sheet.addin.Analysis.getDec2Hex(2560+A268)</f>
        <v>B0A</v>
      </c>
      <c r="C268" s="11"/>
      <c r="D268" s="97"/>
      <c r="E268" s="10"/>
      <c r="F268" s="10"/>
      <c r="G268" s="99"/>
      <c r="H268" s="96"/>
      <c r="I268" s="10"/>
      <c r="J268" s="10"/>
      <c r="K268" s="99"/>
    </row>
    <row r="269" customFormat="false" ht="15" hidden="false" customHeight="false" outlineLevel="0" collapsed="false">
      <c r="A269" s="10" t="n">
        <f aca="false">A268+1</f>
        <v>267</v>
      </c>
      <c r="B269" s="11" t="str">
        <f aca="false">com.sun.star.sheet.addin.Analysis.getDec2Hex(2560+A269)</f>
        <v>B0B</v>
      </c>
      <c r="C269" s="11"/>
      <c r="D269" s="97"/>
      <c r="E269" s="10"/>
      <c r="F269" s="10"/>
      <c r="G269" s="99"/>
      <c r="H269" s="96"/>
      <c r="I269" s="10"/>
      <c r="J269" s="10"/>
      <c r="K269" s="99"/>
    </row>
    <row r="270" customFormat="false" ht="15" hidden="false" customHeight="false" outlineLevel="0" collapsed="false">
      <c r="A270" s="10" t="n">
        <f aca="false">A269+1</f>
        <v>268</v>
      </c>
      <c r="B270" s="11" t="str">
        <f aca="false">com.sun.star.sheet.addin.Analysis.getDec2Hex(2560+A270)</f>
        <v>B0C</v>
      </c>
      <c r="C270" s="11"/>
      <c r="D270" s="97"/>
      <c r="E270" s="10"/>
      <c r="F270" s="10"/>
      <c r="G270" s="99"/>
      <c r="H270" s="96"/>
      <c r="I270" s="10"/>
      <c r="J270" s="10"/>
      <c r="K270" s="99"/>
    </row>
    <row r="271" customFormat="false" ht="15" hidden="false" customHeight="false" outlineLevel="0" collapsed="false">
      <c r="A271" s="10" t="n">
        <f aca="false">A270+1</f>
        <v>269</v>
      </c>
      <c r="B271" s="11" t="str">
        <f aca="false">com.sun.star.sheet.addin.Analysis.getDec2Hex(2560+A271)</f>
        <v>B0D</v>
      </c>
      <c r="C271" s="11"/>
      <c r="D271" s="97"/>
      <c r="E271" s="10"/>
      <c r="F271" s="10"/>
      <c r="G271" s="99"/>
      <c r="H271" s="96"/>
      <c r="I271" s="10"/>
      <c r="J271" s="10"/>
      <c r="K271" s="99"/>
    </row>
    <row r="272" customFormat="false" ht="15" hidden="false" customHeight="false" outlineLevel="0" collapsed="false">
      <c r="A272" s="10" t="n">
        <f aca="false">A271+1</f>
        <v>270</v>
      </c>
      <c r="B272" s="11" t="str">
        <f aca="false">com.sun.star.sheet.addin.Analysis.getDec2Hex(2560+A272)</f>
        <v>B0E</v>
      </c>
      <c r="C272" s="11"/>
      <c r="D272" s="97"/>
      <c r="E272" s="10"/>
      <c r="F272" s="10"/>
      <c r="G272" s="99"/>
      <c r="H272" s="96"/>
      <c r="I272" s="10"/>
      <c r="J272" s="10"/>
      <c r="K272" s="99"/>
    </row>
    <row r="273" s="62" customFormat="true" ht="15" hidden="false" customHeight="false" outlineLevel="0" collapsed="false">
      <c r="A273" s="54" t="n">
        <f aca="false">A272+1</f>
        <v>271</v>
      </c>
      <c r="B273" s="55" t="str">
        <f aca="false">com.sun.star.sheet.addin.Analysis.getDec2Hex(2560+A273)</f>
        <v>B0F</v>
      </c>
      <c r="C273" s="55"/>
      <c r="D273" s="151"/>
      <c r="E273" s="54"/>
      <c r="F273" s="54"/>
      <c r="G273" s="103"/>
      <c r="H273" s="102"/>
      <c r="I273" s="54"/>
      <c r="J273" s="54"/>
      <c r="K273" s="103"/>
      <c r="L273" s="148"/>
      <c r="M273" s="149"/>
      <c r="N273" s="149"/>
    </row>
    <row r="274" customFormat="false" ht="15" hidden="false" customHeight="false" outlineLevel="0" collapsed="false">
      <c r="A274" s="63" t="n">
        <f aca="false">A273+1</f>
        <v>272</v>
      </c>
      <c r="B274" s="64" t="str">
        <f aca="false">com.sun.star.sheet.addin.Analysis.getDec2Hex(2560+A274)</f>
        <v>B10</v>
      </c>
      <c r="C274" s="64"/>
      <c r="D274" s="93"/>
      <c r="E274" s="63"/>
      <c r="F274" s="63"/>
      <c r="G274" s="95"/>
      <c r="H274" s="92"/>
      <c r="I274" s="63"/>
      <c r="J274" s="63"/>
      <c r="K274" s="95"/>
    </row>
    <row r="275" customFormat="false" ht="15" hidden="false" customHeight="false" outlineLevel="0" collapsed="false">
      <c r="A275" s="10" t="n">
        <f aca="false">A274+1</f>
        <v>273</v>
      </c>
      <c r="B275" s="11" t="str">
        <f aca="false">com.sun.star.sheet.addin.Analysis.getDec2Hex(2560+A275)</f>
        <v>B11</v>
      </c>
      <c r="C275" s="11"/>
      <c r="D275" s="97"/>
      <c r="E275" s="10"/>
      <c r="F275" s="10"/>
      <c r="G275" s="99"/>
      <c r="H275" s="96"/>
      <c r="I275" s="10"/>
      <c r="J275" s="10"/>
      <c r="K275" s="99"/>
    </row>
    <row r="276" customFormat="false" ht="15" hidden="false" customHeight="false" outlineLevel="0" collapsed="false">
      <c r="A276" s="10" t="n">
        <f aca="false">A275+1</f>
        <v>274</v>
      </c>
      <c r="B276" s="11" t="str">
        <f aca="false">com.sun.star.sheet.addin.Analysis.getDec2Hex(2560+A276)</f>
        <v>B12</v>
      </c>
      <c r="C276" s="11"/>
      <c r="D276" s="97"/>
      <c r="E276" s="10"/>
      <c r="F276" s="10"/>
      <c r="G276" s="99"/>
      <c r="H276" s="96"/>
      <c r="I276" s="10"/>
      <c r="J276" s="10"/>
      <c r="K276" s="99"/>
    </row>
    <row r="277" customFormat="false" ht="15" hidden="false" customHeight="false" outlineLevel="0" collapsed="false">
      <c r="A277" s="10" t="n">
        <f aca="false">A276+1</f>
        <v>275</v>
      </c>
      <c r="B277" s="11" t="str">
        <f aca="false">com.sun.star.sheet.addin.Analysis.getDec2Hex(2560+A277)</f>
        <v>B13</v>
      </c>
      <c r="C277" s="11"/>
      <c r="D277" s="97"/>
      <c r="E277" s="10"/>
      <c r="F277" s="10"/>
      <c r="G277" s="99"/>
      <c r="H277" s="96"/>
      <c r="I277" s="10"/>
      <c r="J277" s="10"/>
      <c r="K277" s="99"/>
    </row>
    <row r="278" customFormat="false" ht="15" hidden="false" customHeight="false" outlineLevel="0" collapsed="false">
      <c r="A278" s="10" t="n">
        <f aca="false">A277+1</f>
        <v>276</v>
      </c>
      <c r="B278" s="11" t="str">
        <f aca="false">com.sun.star.sheet.addin.Analysis.getDec2Hex(2560+A278)</f>
        <v>B14</v>
      </c>
      <c r="C278" s="11"/>
      <c r="D278" s="97"/>
      <c r="E278" s="10"/>
      <c r="F278" s="10"/>
      <c r="G278" s="99"/>
      <c r="H278" s="96"/>
      <c r="I278" s="10"/>
      <c r="J278" s="10"/>
      <c r="K278" s="99"/>
    </row>
    <row r="279" customFormat="false" ht="15" hidden="false" customHeight="false" outlineLevel="0" collapsed="false">
      <c r="A279" s="10" t="n">
        <f aca="false">A278+1</f>
        <v>277</v>
      </c>
      <c r="B279" s="11" t="str">
        <f aca="false">com.sun.star.sheet.addin.Analysis.getDec2Hex(2560+A279)</f>
        <v>B15</v>
      </c>
      <c r="C279" s="11"/>
      <c r="D279" s="97"/>
      <c r="E279" s="10"/>
      <c r="F279" s="10"/>
      <c r="G279" s="99"/>
      <c r="H279" s="96"/>
      <c r="I279" s="10"/>
      <c r="J279" s="10"/>
      <c r="K279" s="99"/>
    </row>
    <row r="280" customFormat="false" ht="15" hidden="false" customHeight="false" outlineLevel="0" collapsed="false">
      <c r="A280" s="10" t="n">
        <f aca="false">A279+1</f>
        <v>278</v>
      </c>
      <c r="B280" s="11" t="str">
        <f aca="false">com.sun.star.sheet.addin.Analysis.getDec2Hex(2560+A280)</f>
        <v>B16</v>
      </c>
      <c r="C280" s="11"/>
      <c r="D280" s="26" t="s">
        <v>458</v>
      </c>
      <c r="E280" s="26"/>
      <c r="F280" s="26"/>
      <c r="G280" s="26"/>
      <c r="H280" s="26"/>
      <c r="I280" s="26"/>
      <c r="J280" s="26"/>
      <c r="K280" s="26"/>
    </row>
    <row r="281" customFormat="false" ht="15" hidden="false" customHeight="false" outlineLevel="0" collapsed="false">
      <c r="A281" s="10" t="n">
        <f aca="false">A280+1</f>
        <v>279</v>
      </c>
      <c r="B281" s="11" t="str">
        <f aca="false">com.sun.star.sheet.addin.Analysis.getDec2Hex(2560+A281)</f>
        <v>B17</v>
      </c>
      <c r="C281" s="11"/>
      <c r="D281" s="97"/>
      <c r="E281" s="10"/>
      <c r="F281" s="10"/>
      <c r="G281" s="99"/>
      <c r="H281" s="96"/>
      <c r="I281" s="10"/>
      <c r="J281" s="10"/>
      <c r="K281" s="99"/>
    </row>
    <row r="282" customFormat="false" ht="15" hidden="false" customHeight="false" outlineLevel="0" collapsed="false">
      <c r="A282" s="10" t="n">
        <f aca="false">A281+1</f>
        <v>280</v>
      </c>
      <c r="B282" s="11" t="str">
        <f aca="false">com.sun.star.sheet.addin.Analysis.getDec2Hex(2560+A282)</f>
        <v>B18</v>
      </c>
      <c r="C282" s="11"/>
      <c r="D282" s="97"/>
      <c r="E282" s="10"/>
      <c r="F282" s="10"/>
      <c r="G282" s="99"/>
      <c r="H282" s="96"/>
      <c r="I282" s="10"/>
      <c r="J282" s="10"/>
      <c r="K282" s="99"/>
    </row>
    <row r="283" customFormat="false" ht="15" hidden="false" customHeight="false" outlineLevel="0" collapsed="false">
      <c r="A283" s="10" t="n">
        <f aca="false">A282+1</f>
        <v>281</v>
      </c>
      <c r="B283" s="11" t="str">
        <f aca="false">com.sun.star.sheet.addin.Analysis.getDec2Hex(2560+A283)</f>
        <v>B19</v>
      </c>
      <c r="C283" s="11"/>
      <c r="D283" s="97"/>
      <c r="E283" s="10"/>
      <c r="F283" s="10"/>
      <c r="G283" s="99"/>
      <c r="H283" s="96"/>
      <c r="I283" s="10"/>
      <c r="J283" s="10"/>
      <c r="K283" s="99"/>
    </row>
    <row r="284" customFormat="false" ht="15" hidden="false" customHeight="false" outlineLevel="0" collapsed="false">
      <c r="A284" s="10" t="n">
        <f aca="false">A283+1</f>
        <v>282</v>
      </c>
      <c r="B284" s="11" t="str">
        <f aca="false">com.sun.star.sheet.addin.Analysis.getDec2Hex(2560+A284)</f>
        <v>B1A</v>
      </c>
      <c r="C284" s="11"/>
      <c r="D284" s="97"/>
      <c r="E284" s="10"/>
      <c r="F284" s="10"/>
      <c r="G284" s="99"/>
      <c r="H284" s="96"/>
      <c r="I284" s="10"/>
      <c r="J284" s="10"/>
      <c r="K284" s="99"/>
    </row>
    <row r="285" customFormat="false" ht="15" hidden="false" customHeight="false" outlineLevel="0" collapsed="false">
      <c r="A285" s="10" t="n">
        <f aca="false">A284+1</f>
        <v>283</v>
      </c>
      <c r="B285" s="11" t="str">
        <f aca="false">com.sun.star.sheet.addin.Analysis.getDec2Hex(2560+A285)</f>
        <v>B1B</v>
      </c>
      <c r="C285" s="11"/>
      <c r="D285" s="97"/>
      <c r="E285" s="10"/>
      <c r="F285" s="10"/>
      <c r="G285" s="99"/>
      <c r="H285" s="96"/>
      <c r="I285" s="10"/>
      <c r="J285" s="10"/>
      <c r="K285" s="99"/>
    </row>
    <row r="286" customFormat="false" ht="15" hidden="false" customHeight="false" outlineLevel="0" collapsed="false">
      <c r="A286" s="10" t="n">
        <f aca="false">A285+1</f>
        <v>284</v>
      </c>
      <c r="B286" s="11" t="str">
        <f aca="false">com.sun.star.sheet.addin.Analysis.getDec2Hex(2560+A286)</f>
        <v>B1C</v>
      </c>
      <c r="C286" s="11"/>
      <c r="D286" s="26" t="s">
        <v>459</v>
      </c>
      <c r="E286" s="26"/>
      <c r="F286" s="26"/>
      <c r="G286" s="26"/>
      <c r="H286" s="26"/>
      <c r="I286" s="26"/>
      <c r="J286" s="26"/>
      <c r="K286" s="26"/>
    </row>
    <row r="287" customFormat="false" ht="15" hidden="false" customHeight="false" outlineLevel="0" collapsed="false">
      <c r="A287" s="10" t="n">
        <f aca="false">A286+1</f>
        <v>285</v>
      </c>
      <c r="B287" s="11" t="str">
        <f aca="false">com.sun.star.sheet.addin.Analysis.getDec2Hex(2560+A287)</f>
        <v>B1D</v>
      </c>
      <c r="C287" s="11"/>
      <c r="D287" s="97"/>
      <c r="E287" s="10"/>
      <c r="F287" s="10"/>
      <c r="G287" s="99"/>
      <c r="H287" s="96"/>
      <c r="I287" s="10"/>
      <c r="J287" s="10"/>
      <c r="K287" s="99"/>
    </row>
    <row r="288" customFormat="false" ht="15" hidden="false" customHeight="false" outlineLevel="0" collapsed="false">
      <c r="A288" s="10" t="n">
        <f aca="false">A287+1</f>
        <v>286</v>
      </c>
      <c r="B288" s="11" t="str">
        <f aca="false">com.sun.star.sheet.addin.Analysis.getDec2Hex(2560+A288)</f>
        <v>B1E</v>
      </c>
      <c r="C288" s="11"/>
      <c r="D288" s="97"/>
      <c r="E288" s="10"/>
      <c r="F288" s="10"/>
      <c r="G288" s="99"/>
      <c r="H288" s="96"/>
      <c r="I288" s="10"/>
      <c r="J288" s="10"/>
      <c r="K288" s="99"/>
    </row>
    <row r="289" s="62" customFormat="true" ht="15" hidden="false" customHeight="false" outlineLevel="0" collapsed="false">
      <c r="A289" s="54" t="n">
        <f aca="false">A288+1</f>
        <v>287</v>
      </c>
      <c r="B289" s="55" t="str">
        <f aca="false">com.sun.star.sheet.addin.Analysis.getDec2Hex(2560+A289)</f>
        <v>B1F</v>
      </c>
      <c r="C289" s="55"/>
      <c r="D289" s="151"/>
      <c r="E289" s="54"/>
      <c r="F289" s="54"/>
      <c r="G289" s="103"/>
      <c r="H289" s="102"/>
      <c r="I289" s="54"/>
      <c r="J289" s="54"/>
      <c r="K289" s="103"/>
      <c r="L289" s="148"/>
      <c r="M289" s="149"/>
      <c r="N289" s="149"/>
    </row>
    <row r="290" customFormat="false" ht="15" hidden="false" customHeight="false" outlineLevel="0" collapsed="false">
      <c r="A290" s="63" t="n">
        <f aca="false">A289+1</f>
        <v>288</v>
      </c>
      <c r="B290" s="64" t="str">
        <f aca="false">com.sun.star.sheet.addin.Analysis.getDec2Hex(2560+A290)</f>
        <v>B20</v>
      </c>
      <c r="C290" s="64"/>
      <c r="D290" s="93"/>
      <c r="E290" s="63"/>
      <c r="F290" s="63"/>
      <c r="G290" s="95"/>
      <c r="H290" s="92"/>
      <c r="I290" s="63"/>
      <c r="J290" s="63"/>
      <c r="K290" s="95"/>
    </row>
    <row r="291" customFormat="false" ht="15" hidden="false" customHeight="false" outlineLevel="0" collapsed="false">
      <c r="A291" s="10" t="n">
        <f aca="false">A290+1</f>
        <v>289</v>
      </c>
      <c r="B291" s="11" t="str">
        <f aca="false">com.sun.star.sheet.addin.Analysis.getDec2Hex(2560+A291)</f>
        <v>B21</v>
      </c>
      <c r="C291" s="11"/>
      <c r="D291" s="97"/>
      <c r="E291" s="10"/>
      <c r="F291" s="10"/>
      <c r="G291" s="99"/>
      <c r="H291" s="96"/>
      <c r="I291" s="10"/>
      <c r="J291" s="10"/>
      <c r="K291" s="99"/>
    </row>
    <row r="292" customFormat="false" ht="15" hidden="false" customHeight="false" outlineLevel="0" collapsed="false">
      <c r="A292" s="10" t="n">
        <f aca="false">A291+1</f>
        <v>290</v>
      </c>
      <c r="B292" s="11" t="str">
        <f aca="false">com.sun.star.sheet.addin.Analysis.getDec2Hex(2560+A292)</f>
        <v>B22</v>
      </c>
      <c r="C292" s="11"/>
      <c r="D292" s="26" t="s">
        <v>460</v>
      </c>
      <c r="E292" s="26"/>
      <c r="F292" s="26"/>
      <c r="G292" s="26"/>
      <c r="H292" s="26"/>
      <c r="I292" s="26"/>
      <c r="J292" s="26"/>
      <c r="K292" s="26"/>
    </row>
    <row r="293" customFormat="false" ht="15" hidden="false" customHeight="false" outlineLevel="0" collapsed="false">
      <c r="A293" s="10" t="n">
        <f aca="false">A292+1</f>
        <v>291</v>
      </c>
      <c r="B293" s="11" t="str">
        <f aca="false">com.sun.star.sheet.addin.Analysis.getDec2Hex(2560+A293)</f>
        <v>B23</v>
      </c>
      <c r="C293" s="11"/>
      <c r="D293" s="97"/>
      <c r="E293" s="10"/>
      <c r="F293" s="10"/>
      <c r="G293" s="99"/>
      <c r="H293" s="96"/>
      <c r="I293" s="10"/>
      <c r="J293" s="10"/>
      <c r="K293" s="99"/>
    </row>
    <row r="294" customFormat="false" ht="15" hidden="false" customHeight="false" outlineLevel="0" collapsed="false">
      <c r="A294" s="10" t="n">
        <f aca="false">A293+1</f>
        <v>292</v>
      </c>
      <c r="B294" s="11" t="str">
        <f aca="false">com.sun.star.sheet.addin.Analysis.getDec2Hex(2560+A294)</f>
        <v>B24</v>
      </c>
      <c r="C294" s="11"/>
      <c r="D294" s="26" t="s">
        <v>566</v>
      </c>
      <c r="E294" s="26"/>
      <c r="F294" s="26"/>
      <c r="G294" s="26"/>
      <c r="H294" s="26"/>
      <c r="I294" s="26"/>
      <c r="J294" s="26"/>
      <c r="K294" s="26"/>
    </row>
    <row r="295" customFormat="false" ht="15" hidden="false" customHeight="false" outlineLevel="0" collapsed="false">
      <c r="A295" s="10" t="n">
        <f aca="false">A294+1</f>
        <v>293</v>
      </c>
      <c r="B295" s="11" t="str">
        <f aca="false">com.sun.star.sheet.addin.Analysis.getDec2Hex(2560+A295)</f>
        <v>B25</v>
      </c>
      <c r="C295" s="11"/>
      <c r="D295" s="97"/>
      <c r="E295" s="10"/>
      <c r="F295" s="10"/>
      <c r="G295" s="99"/>
      <c r="H295" s="96"/>
      <c r="I295" s="10"/>
      <c r="J295" s="10"/>
      <c r="K295" s="99"/>
    </row>
    <row r="296" customFormat="false" ht="15" hidden="false" customHeight="false" outlineLevel="0" collapsed="false">
      <c r="A296" s="10" t="n">
        <f aca="false">A295+1</f>
        <v>294</v>
      </c>
      <c r="B296" s="11" t="str">
        <f aca="false">com.sun.star.sheet.addin.Analysis.getDec2Hex(2560+A296)</f>
        <v>B26</v>
      </c>
      <c r="C296" s="11"/>
      <c r="D296" s="26" t="s">
        <v>462</v>
      </c>
      <c r="E296" s="26"/>
      <c r="F296" s="26"/>
      <c r="G296" s="26"/>
      <c r="H296" s="26"/>
      <c r="I296" s="26"/>
      <c r="J296" s="26"/>
      <c r="K296" s="26"/>
    </row>
    <row r="297" customFormat="false" ht="15" hidden="false" customHeight="false" outlineLevel="0" collapsed="false">
      <c r="A297" s="10" t="n">
        <f aca="false">A296+1</f>
        <v>295</v>
      </c>
      <c r="B297" s="11" t="str">
        <f aca="false">com.sun.star.sheet.addin.Analysis.getDec2Hex(2560+A297)</f>
        <v>B27</v>
      </c>
      <c r="C297" s="11"/>
      <c r="D297" s="97"/>
      <c r="E297" s="10"/>
      <c r="F297" s="10"/>
      <c r="G297" s="99"/>
      <c r="H297" s="96"/>
      <c r="I297" s="10"/>
      <c r="J297" s="10"/>
      <c r="K297" s="99"/>
    </row>
    <row r="298" customFormat="false" ht="15" hidden="false" customHeight="false" outlineLevel="0" collapsed="false">
      <c r="A298" s="10" t="n">
        <f aca="false">A297+1</f>
        <v>296</v>
      </c>
      <c r="B298" s="11" t="str">
        <f aca="false">com.sun.star.sheet.addin.Analysis.getDec2Hex(2560+A298)</f>
        <v>B28</v>
      </c>
      <c r="C298" s="11"/>
      <c r="D298" s="131" t="s">
        <v>463</v>
      </c>
      <c r="E298" s="131"/>
      <c r="F298" s="131"/>
      <c r="G298" s="131"/>
      <c r="H298" s="131"/>
      <c r="I298" s="131"/>
      <c r="J298" s="131"/>
      <c r="K298" s="131"/>
    </row>
    <row r="299" customFormat="false" ht="15" hidden="false" customHeight="false" outlineLevel="0" collapsed="false">
      <c r="A299" s="10" t="n">
        <f aca="false">A298+1</f>
        <v>297</v>
      </c>
      <c r="B299" s="11" t="str">
        <f aca="false">com.sun.star.sheet.addin.Analysis.getDec2Hex(2560+A299)</f>
        <v>B29</v>
      </c>
      <c r="C299" s="11"/>
      <c r="D299" s="131"/>
      <c r="E299" s="131"/>
      <c r="F299" s="131"/>
      <c r="G299" s="131"/>
      <c r="H299" s="131"/>
      <c r="I299" s="131"/>
      <c r="J299" s="131"/>
      <c r="K299" s="131"/>
    </row>
    <row r="300" customFormat="false" ht="15" hidden="false" customHeight="false" outlineLevel="0" collapsed="false">
      <c r="A300" s="10" t="n">
        <f aca="false">A299+1</f>
        <v>298</v>
      </c>
      <c r="B300" s="11" t="str">
        <f aca="false">com.sun.star.sheet.addin.Analysis.getDec2Hex(2560+A300)</f>
        <v>B2A</v>
      </c>
      <c r="C300" s="11"/>
      <c r="D300" s="131" t="s">
        <v>464</v>
      </c>
      <c r="E300" s="131"/>
      <c r="F300" s="131"/>
      <c r="G300" s="131"/>
      <c r="H300" s="131"/>
      <c r="I300" s="131"/>
      <c r="J300" s="131"/>
      <c r="K300" s="131"/>
    </row>
    <row r="301" customFormat="false" ht="15" hidden="false" customHeight="false" outlineLevel="0" collapsed="false">
      <c r="A301" s="10" t="n">
        <f aca="false">A300+1</f>
        <v>299</v>
      </c>
      <c r="B301" s="11" t="str">
        <f aca="false">com.sun.star.sheet.addin.Analysis.getDec2Hex(2560+A301)</f>
        <v>B2B</v>
      </c>
      <c r="C301" s="11"/>
      <c r="D301" s="131"/>
      <c r="E301" s="131"/>
      <c r="F301" s="131"/>
      <c r="G301" s="131"/>
      <c r="H301" s="131"/>
      <c r="I301" s="131"/>
      <c r="J301" s="131"/>
      <c r="K301" s="131"/>
    </row>
    <row r="302" customFormat="false" ht="15" hidden="false" customHeight="false" outlineLevel="0" collapsed="false">
      <c r="A302" s="10" t="n">
        <f aca="false">A301+1</f>
        <v>300</v>
      </c>
      <c r="B302" s="11" t="str">
        <f aca="false">com.sun.star.sheet.addin.Analysis.getDec2Hex(2560+A302)</f>
        <v>B2C</v>
      </c>
      <c r="C302" s="11"/>
      <c r="D302" s="131" t="s">
        <v>465</v>
      </c>
      <c r="E302" s="131"/>
      <c r="F302" s="131"/>
      <c r="G302" s="131"/>
      <c r="H302" s="131"/>
      <c r="I302" s="131"/>
      <c r="J302" s="131"/>
      <c r="K302" s="131"/>
    </row>
    <row r="303" customFormat="false" ht="15" hidden="false" customHeight="false" outlineLevel="0" collapsed="false">
      <c r="A303" s="10" t="n">
        <f aca="false">A302+1</f>
        <v>301</v>
      </c>
      <c r="B303" s="11" t="str">
        <f aca="false">com.sun.star.sheet.addin.Analysis.getDec2Hex(2560+A303)</f>
        <v>B2D</v>
      </c>
      <c r="C303" s="11"/>
      <c r="D303" s="131"/>
      <c r="E303" s="131"/>
      <c r="F303" s="131"/>
      <c r="G303" s="131"/>
      <c r="H303" s="131"/>
      <c r="I303" s="131"/>
      <c r="J303" s="131"/>
      <c r="K303" s="131"/>
    </row>
    <row r="304" customFormat="false" ht="15" hidden="false" customHeight="false" outlineLevel="0" collapsed="false">
      <c r="A304" s="10" t="n">
        <f aca="false">A303+1</f>
        <v>302</v>
      </c>
      <c r="B304" s="11" t="str">
        <f aca="false">com.sun.star.sheet.addin.Analysis.getDec2Hex(2560+A304)</f>
        <v>B2E</v>
      </c>
      <c r="C304" s="11"/>
      <c r="D304" s="131" t="s">
        <v>466</v>
      </c>
      <c r="E304" s="131"/>
      <c r="F304" s="131"/>
      <c r="G304" s="131"/>
      <c r="H304" s="131"/>
      <c r="I304" s="131"/>
      <c r="J304" s="131"/>
      <c r="K304" s="131"/>
    </row>
    <row r="305" s="62" customFormat="true" ht="15" hidden="false" customHeight="false" outlineLevel="0" collapsed="false">
      <c r="A305" s="54" t="n">
        <f aca="false">A304+1</f>
        <v>303</v>
      </c>
      <c r="B305" s="55" t="str">
        <f aca="false">com.sun.star.sheet.addin.Analysis.getDec2Hex(2560+A305)</f>
        <v>B2F</v>
      </c>
      <c r="C305" s="55"/>
      <c r="D305" s="131"/>
      <c r="E305" s="131"/>
      <c r="F305" s="131"/>
      <c r="G305" s="131"/>
      <c r="H305" s="131"/>
      <c r="I305" s="131"/>
      <c r="J305" s="131"/>
      <c r="K305" s="131"/>
      <c r="L305" s="148"/>
      <c r="M305" s="149"/>
      <c r="N305" s="149"/>
    </row>
    <row r="306" customFormat="false" ht="15" hidden="false" customHeight="false" outlineLevel="0" collapsed="false">
      <c r="A306" s="63" t="n">
        <f aca="false">A305+1</f>
        <v>304</v>
      </c>
      <c r="B306" s="64" t="str">
        <f aca="false">com.sun.star.sheet.addin.Analysis.getDec2Hex(2560+A306)</f>
        <v>B30</v>
      </c>
      <c r="C306" s="64"/>
      <c r="D306" s="131" t="s">
        <v>468</v>
      </c>
      <c r="E306" s="131"/>
      <c r="F306" s="131"/>
      <c r="G306" s="131"/>
      <c r="H306" s="131"/>
      <c r="I306" s="131"/>
      <c r="J306" s="131"/>
      <c r="K306" s="131"/>
    </row>
    <row r="307" customFormat="false" ht="15" hidden="false" customHeight="false" outlineLevel="0" collapsed="false">
      <c r="A307" s="10" t="n">
        <f aca="false">A306+1</f>
        <v>305</v>
      </c>
      <c r="B307" s="11" t="str">
        <f aca="false">com.sun.star.sheet.addin.Analysis.getDec2Hex(2560+A307)</f>
        <v>B31</v>
      </c>
      <c r="C307" s="11"/>
      <c r="D307" s="131"/>
      <c r="E307" s="131"/>
      <c r="F307" s="131"/>
      <c r="G307" s="131"/>
      <c r="H307" s="131"/>
      <c r="I307" s="131"/>
      <c r="J307" s="131"/>
      <c r="K307" s="131"/>
    </row>
    <row r="308" customFormat="false" ht="15" hidden="false" customHeight="false" outlineLevel="0" collapsed="false">
      <c r="A308" s="10" t="n">
        <f aca="false">A307+1</f>
        <v>306</v>
      </c>
      <c r="B308" s="11" t="str">
        <f aca="false">com.sun.star.sheet.addin.Analysis.getDec2Hex(2560+A308)</f>
        <v>B32</v>
      </c>
      <c r="C308" s="11"/>
      <c r="D308" s="131" t="s">
        <v>469</v>
      </c>
      <c r="E308" s="131"/>
      <c r="F308" s="131"/>
      <c r="G308" s="131"/>
      <c r="H308" s="131"/>
      <c r="I308" s="131"/>
      <c r="J308" s="131"/>
      <c r="K308" s="131"/>
    </row>
    <row r="309" customFormat="false" ht="15" hidden="false" customHeight="false" outlineLevel="0" collapsed="false">
      <c r="A309" s="10" t="n">
        <f aca="false">A308+1</f>
        <v>307</v>
      </c>
      <c r="B309" s="11" t="str">
        <f aca="false">com.sun.star.sheet.addin.Analysis.getDec2Hex(2560+A309)</f>
        <v>B33</v>
      </c>
      <c r="C309" s="11"/>
      <c r="D309" s="131"/>
      <c r="E309" s="131"/>
      <c r="F309" s="131"/>
      <c r="G309" s="131"/>
      <c r="H309" s="131"/>
      <c r="I309" s="131"/>
      <c r="J309" s="131"/>
      <c r="K309" s="131"/>
    </row>
    <row r="310" customFormat="false" ht="15" hidden="false" customHeight="false" outlineLevel="0" collapsed="false">
      <c r="A310" s="10" t="n">
        <f aca="false">A309+1</f>
        <v>308</v>
      </c>
      <c r="B310" s="11" t="str">
        <f aca="false">com.sun.star.sheet.addin.Analysis.getDec2Hex(2560+A310)</f>
        <v>B34</v>
      </c>
      <c r="C310" s="11"/>
      <c r="D310" s="97"/>
      <c r="E310" s="10"/>
      <c r="F310" s="10"/>
      <c r="G310" s="99"/>
      <c r="H310" s="96"/>
      <c r="I310" s="10"/>
      <c r="J310" s="10"/>
      <c r="K310" s="99"/>
    </row>
    <row r="311" customFormat="false" ht="15" hidden="false" customHeight="false" outlineLevel="0" collapsed="false">
      <c r="A311" s="10" t="n">
        <f aca="false">A310+1</f>
        <v>309</v>
      </c>
      <c r="B311" s="11" t="str">
        <f aca="false">com.sun.star.sheet.addin.Analysis.getDec2Hex(2560+A311)</f>
        <v>B35</v>
      </c>
      <c r="C311" s="11"/>
      <c r="D311" s="97"/>
      <c r="E311" s="10"/>
      <c r="F311" s="10"/>
      <c r="G311" s="99"/>
      <c r="H311" s="96"/>
      <c r="I311" s="10"/>
      <c r="J311" s="10"/>
      <c r="K311" s="99"/>
    </row>
    <row r="312" customFormat="false" ht="15" hidden="false" customHeight="false" outlineLevel="0" collapsed="false">
      <c r="A312" s="10" t="n">
        <f aca="false">A311+1</f>
        <v>310</v>
      </c>
      <c r="B312" s="11" t="str">
        <f aca="false">com.sun.star.sheet.addin.Analysis.getDec2Hex(2560+A312)</f>
        <v>B36</v>
      </c>
      <c r="C312" s="11"/>
      <c r="D312" s="97"/>
      <c r="E312" s="10"/>
      <c r="F312" s="10"/>
      <c r="G312" s="99"/>
      <c r="H312" s="96"/>
      <c r="I312" s="10"/>
      <c r="J312" s="10"/>
      <c r="K312" s="99"/>
    </row>
    <row r="313" customFormat="false" ht="15" hidden="false" customHeight="false" outlineLevel="0" collapsed="false">
      <c r="A313" s="10" t="n">
        <f aca="false">A312+1</f>
        <v>311</v>
      </c>
      <c r="B313" s="11" t="str">
        <f aca="false">com.sun.star.sheet.addin.Analysis.getDec2Hex(2560+A313)</f>
        <v>B37</v>
      </c>
      <c r="C313" s="11"/>
      <c r="D313" s="97"/>
      <c r="E313" s="10"/>
      <c r="F313" s="10"/>
      <c r="G313" s="99"/>
      <c r="H313" s="96"/>
      <c r="I313" s="10"/>
      <c r="J313" s="10"/>
      <c r="K313" s="99"/>
    </row>
    <row r="314" customFormat="false" ht="15" hidden="false" customHeight="false" outlineLevel="0" collapsed="false">
      <c r="A314" s="10" t="n">
        <f aca="false">A313+1</f>
        <v>312</v>
      </c>
      <c r="B314" s="11" t="str">
        <f aca="false">com.sun.star.sheet.addin.Analysis.getDec2Hex(2560+A314)</f>
        <v>B38</v>
      </c>
      <c r="C314" s="11"/>
      <c r="D314" s="97"/>
      <c r="E314" s="10"/>
      <c r="F314" s="10"/>
      <c r="G314" s="99"/>
      <c r="H314" s="96"/>
      <c r="I314" s="10"/>
      <c r="J314" s="10"/>
      <c r="K314" s="99"/>
    </row>
    <row r="315" customFormat="false" ht="15" hidden="false" customHeight="false" outlineLevel="0" collapsed="false">
      <c r="A315" s="10" t="n">
        <f aca="false">A314+1</f>
        <v>313</v>
      </c>
      <c r="B315" s="11" t="str">
        <f aca="false">com.sun.star.sheet.addin.Analysis.getDec2Hex(2560+A315)</f>
        <v>B39</v>
      </c>
      <c r="C315" s="11"/>
      <c r="D315" s="97"/>
      <c r="E315" s="10"/>
      <c r="F315" s="10"/>
      <c r="G315" s="99"/>
      <c r="H315" s="96"/>
      <c r="I315" s="10"/>
      <c r="J315" s="10"/>
      <c r="K315" s="99"/>
    </row>
    <row r="316" customFormat="false" ht="15" hidden="false" customHeight="false" outlineLevel="0" collapsed="false">
      <c r="A316" s="10" t="n">
        <f aca="false">A315+1</f>
        <v>314</v>
      </c>
      <c r="B316" s="11" t="str">
        <f aca="false">com.sun.star.sheet.addin.Analysis.getDec2Hex(2560+A316)</f>
        <v>B3A</v>
      </c>
      <c r="C316" s="11"/>
      <c r="D316" s="97"/>
      <c r="E316" s="10"/>
      <c r="F316" s="10"/>
      <c r="G316" s="99"/>
      <c r="H316" s="96"/>
      <c r="I316" s="10"/>
      <c r="J316" s="10"/>
      <c r="K316" s="99"/>
    </row>
    <row r="317" customFormat="false" ht="15" hidden="false" customHeight="false" outlineLevel="0" collapsed="false">
      <c r="A317" s="10" t="n">
        <f aca="false">A316+1</f>
        <v>315</v>
      </c>
      <c r="B317" s="11" t="str">
        <f aca="false">com.sun.star.sheet.addin.Analysis.getDec2Hex(2560+A317)</f>
        <v>B3B</v>
      </c>
      <c r="C317" s="11"/>
      <c r="D317" s="97"/>
      <c r="E317" s="10"/>
      <c r="F317" s="10"/>
      <c r="G317" s="99"/>
      <c r="H317" s="96"/>
      <c r="I317" s="10"/>
      <c r="J317" s="10"/>
      <c r="K317" s="99"/>
    </row>
    <row r="318" customFormat="false" ht="15" hidden="false" customHeight="false" outlineLevel="0" collapsed="false">
      <c r="A318" s="10" t="n">
        <f aca="false">A317+1</f>
        <v>316</v>
      </c>
      <c r="B318" s="11" t="str">
        <f aca="false">com.sun.star.sheet.addin.Analysis.getDec2Hex(2560+A318)</f>
        <v>B3C</v>
      </c>
      <c r="C318" s="11"/>
      <c r="D318" s="97"/>
      <c r="E318" s="10"/>
      <c r="F318" s="10"/>
      <c r="G318" s="99"/>
      <c r="H318" s="96"/>
      <c r="I318" s="10"/>
      <c r="J318" s="10"/>
      <c r="K318" s="99"/>
    </row>
    <row r="319" customFormat="false" ht="15" hidden="false" customHeight="false" outlineLevel="0" collapsed="false">
      <c r="A319" s="10" t="n">
        <f aca="false">A318+1</f>
        <v>317</v>
      </c>
      <c r="B319" s="11" t="str">
        <f aca="false">com.sun.star.sheet.addin.Analysis.getDec2Hex(2560+A319)</f>
        <v>B3D</v>
      </c>
      <c r="C319" s="11"/>
      <c r="D319" s="97"/>
      <c r="E319" s="10"/>
      <c r="F319" s="10"/>
      <c r="G319" s="99"/>
      <c r="H319" s="96"/>
      <c r="I319" s="10"/>
      <c r="J319" s="10"/>
      <c r="K319" s="99"/>
    </row>
    <row r="320" customFormat="false" ht="15" hidden="false" customHeight="false" outlineLevel="0" collapsed="false">
      <c r="A320" s="10" t="n">
        <f aca="false">A319+1</f>
        <v>318</v>
      </c>
      <c r="B320" s="11" t="str">
        <f aca="false">com.sun.star.sheet.addin.Analysis.getDec2Hex(2560+A320)</f>
        <v>B3E</v>
      </c>
      <c r="C320" s="11"/>
      <c r="D320" s="97"/>
      <c r="E320" s="10"/>
      <c r="F320" s="10"/>
      <c r="G320" s="99"/>
      <c r="H320" s="96"/>
      <c r="I320" s="10"/>
      <c r="J320" s="10"/>
      <c r="K320" s="99"/>
    </row>
    <row r="321" customFormat="false" ht="15" hidden="false" customHeight="false" outlineLevel="0" collapsed="false">
      <c r="A321" s="10" t="n">
        <f aca="false">A320+1</f>
        <v>319</v>
      </c>
      <c r="B321" s="11" t="str">
        <f aca="false">com.sun.star.sheet.addin.Analysis.getDec2Hex(2560+A321)</f>
        <v>B3F</v>
      </c>
      <c r="C321" s="11"/>
      <c r="D321" s="97"/>
      <c r="E321" s="10"/>
      <c r="F321" s="10"/>
      <c r="G321" s="99"/>
      <c r="H321" s="96"/>
      <c r="I321" s="10"/>
      <c r="J321" s="10"/>
      <c r="K321" s="99"/>
    </row>
    <row r="322" customFormat="false" ht="15" hidden="false" customHeight="false" outlineLevel="0" collapsed="false">
      <c r="A322" s="10" t="n">
        <f aca="false">A321+1</f>
        <v>320</v>
      </c>
      <c r="B322" s="11" t="str">
        <f aca="false">com.sun.star.sheet.addin.Analysis.getDec2Hex(2560+A322)</f>
        <v>B40</v>
      </c>
      <c r="C322" s="11"/>
      <c r="D322" s="97"/>
      <c r="E322" s="10"/>
      <c r="F322" s="10"/>
      <c r="G322" s="99"/>
      <c r="H322" s="96"/>
      <c r="I322" s="10"/>
      <c r="J322" s="10"/>
      <c r="K322" s="99"/>
    </row>
    <row r="323" customFormat="false" ht="15" hidden="false" customHeight="false" outlineLevel="0" collapsed="false">
      <c r="A323" s="10" t="n">
        <f aca="false">A322+1</f>
        <v>321</v>
      </c>
      <c r="B323" s="11" t="str">
        <f aca="false">com.sun.star.sheet.addin.Analysis.getDec2Hex(2560+A323)</f>
        <v>B41</v>
      </c>
      <c r="C323" s="11"/>
      <c r="D323" s="97"/>
      <c r="E323" s="10"/>
      <c r="F323" s="10"/>
      <c r="G323" s="99"/>
      <c r="H323" s="96"/>
      <c r="I323" s="10"/>
      <c r="J323" s="10"/>
      <c r="K323" s="99"/>
    </row>
    <row r="324" customFormat="false" ht="15" hidden="false" customHeight="false" outlineLevel="0" collapsed="false">
      <c r="A324" s="10" t="n">
        <f aca="false">A323+1</f>
        <v>322</v>
      </c>
      <c r="B324" s="11" t="str">
        <f aca="false">com.sun.star.sheet.addin.Analysis.getDec2Hex(2560+A324)</f>
        <v>B42</v>
      </c>
      <c r="C324" s="11"/>
      <c r="D324" s="97"/>
      <c r="E324" s="10"/>
      <c r="F324" s="10"/>
      <c r="G324" s="99"/>
      <c r="H324" s="96"/>
      <c r="I324" s="10"/>
      <c r="J324" s="10"/>
      <c r="K324" s="99"/>
    </row>
    <row r="325" customFormat="false" ht="15" hidden="false" customHeight="false" outlineLevel="0" collapsed="false">
      <c r="A325" s="10" t="n">
        <f aca="false">A324+1</f>
        <v>323</v>
      </c>
      <c r="B325" s="11" t="str">
        <f aca="false">com.sun.star.sheet.addin.Analysis.getDec2Hex(2560+A325)</f>
        <v>B43</v>
      </c>
      <c r="C325" s="11"/>
      <c r="D325" s="97"/>
      <c r="E325" s="10"/>
      <c r="F325" s="10"/>
      <c r="G325" s="99"/>
      <c r="H325" s="96"/>
      <c r="I325" s="10"/>
      <c r="J325" s="10"/>
      <c r="K325" s="99"/>
    </row>
    <row r="326" customFormat="false" ht="15" hidden="false" customHeight="false" outlineLevel="0" collapsed="false">
      <c r="A326" s="10" t="n">
        <f aca="false">A325+1</f>
        <v>324</v>
      </c>
      <c r="B326" s="11" t="str">
        <f aca="false">com.sun.star.sheet.addin.Analysis.getDec2Hex(2560+A326)</f>
        <v>B44</v>
      </c>
      <c r="C326" s="11"/>
      <c r="D326" s="97"/>
      <c r="E326" s="10"/>
      <c r="F326" s="10"/>
      <c r="G326" s="99"/>
      <c r="H326" s="96"/>
      <c r="I326" s="10"/>
      <c r="J326" s="10"/>
      <c r="K326" s="99"/>
    </row>
    <row r="327" customFormat="false" ht="15" hidden="false" customHeight="false" outlineLevel="0" collapsed="false">
      <c r="A327" s="10" t="n">
        <f aca="false">A326+1</f>
        <v>325</v>
      </c>
      <c r="B327" s="11" t="str">
        <f aca="false">com.sun.star.sheet.addin.Analysis.getDec2Hex(2560+A327)</f>
        <v>B45</v>
      </c>
      <c r="C327" s="11"/>
      <c r="D327" s="97"/>
      <c r="E327" s="10"/>
      <c r="F327" s="10"/>
      <c r="G327" s="99"/>
      <c r="H327" s="96"/>
      <c r="I327" s="10"/>
      <c r="J327" s="10"/>
      <c r="K327" s="99"/>
    </row>
    <row r="328" customFormat="false" ht="15" hidden="false" customHeight="false" outlineLevel="0" collapsed="false">
      <c r="A328" s="10" t="n">
        <f aca="false">A327+1</f>
        <v>326</v>
      </c>
      <c r="B328" s="11" t="str">
        <f aca="false">com.sun.star.sheet.addin.Analysis.getDec2Hex(2560+A328)</f>
        <v>B46</v>
      </c>
      <c r="C328" s="11"/>
      <c r="D328" s="97"/>
      <c r="E328" s="10"/>
      <c r="F328" s="10"/>
      <c r="G328" s="99"/>
      <c r="H328" s="96"/>
      <c r="I328" s="10"/>
      <c r="J328" s="10"/>
      <c r="K328" s="99"/>
    </row>
    <row r="329" customFormat="false" ht="15" hidden="false" customHeight="false" outlineLevel="0" collapsed="false">
      <c r="A329" s="10" t="n">
        <f aca="false">A328+1</f>
        <v>327</v>
      </c>
      <c r="B329" s="11" t="str">
        <f aca="false">com.sun.star.sheet.addin.Analysis.getDec2Hex(2560+A329)</f>
        <v>B47</v>
      </c>
      <c r="C329" s="11"/>
      <c r="D329" s="97"/>
      <c r="E329" s="10"/>
      <c r="F329" s="10"/>
      <c r="G329" s="99"/>
      <c r="H329" s="96"/>
      <c r="I329" s="10"/>
      <c r="J329" s="10"/>
      <c r="K329" s="99"/>
    </row>
    <row r="330" customFormat="false" ht="15" hidden="false" customHeight="false" outlineLevel="0" collapsed="false">
      <c r="A330" s="10" t="n">
        <f aca="false">A329+1</f>
        <v>328</v>
      </c>
      <c r="B330" s="11" t="str">
        <f aca="false">com.sun.star.sheet.addin.Analysis.getDec2Hex(2560+A330)</f>
        <v>B48</v>
      </c>
      <c r="C330" s="11"/>
      <c r="D330" s="97"/>
      <c r="E330" s="10"/>
      <c r="F330" s="10"/>
      <c r="G330" s="99"/>
      <c r="H330" s="96"/>
      <c r="I330" s="10"/>
      <c r="J330" s="10"/>
      <c r="K330" s="99"/>
    </row>
    <row r="331" customFormat="false" ht="15" hidden="false" customHeight="false" outlineLevel="0" collapsed="false">
      <c r="A331" s="10" t="n">
        <f aca="false">A330+1</f>
        <v>329</v>
      </c>
      <c r="B331" s="11" t="str">
        <f aca="false">com.sun.star.sheet.addin.Analysis.getDec2Hex(2560+A331)</f>
        <v>B49</v>
      </c>
      <c r="C331" s="11"/>
      <c r="D331" s="97"/>
      <c r="E331" s="10"/>
      <c r="F331" s="10"/>
      <c r="G331" s="99"/>
      <c r="H331" s="96"/>
      <c r="I331" s="10"/>
      <c r="J331" s="10"/>
      <c r="K331" s="99"/>
    </row>
    <row r="332" customFormat="false" ht="15" hidden="false" customHeight="false" outlineLevel="0" collapsed="false">
      <c r="A332" s="10" t="n">
        <f aca="false">A331+1</f>
        <v>330</v>
      </c>
      <c r="B332" s="11" t="str">
        <f aca="false">com.sun.star.sheet.addin.Analysis.getDec2Hex(2560+A332)</f>
        <v>B4A</v>
      </c>
      <c r="C332" s="11"/>
      <c r="D332" s="97"/>
      <c r="E332" s="10"/>
      <c r="F332" s="10"/>
      <c r="G332" s="99"/>
      <c r="H332" s="96"/>
      <c r="I332" s="10"/>
      <c r="J332" s="10"/>
      <c r="K332" s="99"/>
    </row>
    <row r="333" customFormat="false" ht="15" hidden="false" customHeight="false" outlineLevel="0" collapsed="false">
      <c r="A333" s="10" t="n">
        <f aca="false">A332+1</f>
        <v>331</v>
      </c>
      <c r="B333" s="11" t="str">
        <f aca="false">com.sun.star.sheet.addin.Analysis.getDec2Hex(2560+A333)</f>
        <v>B4B</v>
      </c>
      <c r="C333" s="11"/>
      <c r="D333" s="97"/>
      <c r="E333" s="10"/>
      <c r="F333" s="10"/>
      <c r="G333" s="99"/>
      <c r="H333" s="96"/>
      <c r="I333" s="10"/>
      <c r="J333" s="10"/>
      <c r="K333" s="99"/>
    </row>
    <row r="334" customFormat="false" ht="15" hidden="false" customHeight="false" outlineLevel="0" collapsed="false">
      <c r="A334" s="10" t="n">
        <f aca="false">A333+1</f>
        <v>332</v>
      </c>
      <c r="B334" s="11" t="str">
        <f aca="false">com.sun.star.sheet.addin.Analysis.getDec2Hex(2560+A334)</f>
        <v>B4C</v>
      </c>
      <c r="C334" s="11"/>
      <c r="D334" s="97"/>
      <c r="E334" s="10"/>
      <c r="F334" s="10"/>
      <c r="G334" s="99"/>
      <c r="H334" s="96"/>
      <c r="I334" s="10"/>
      <c r="J334" s="10"/>
      <c r="K334" s="99"/>
    </row>
    <row r="335" customFormat="false" ht="15" hidden="false" customHeight="false" outlineLevel="0" collapsed="false">
      <c r="A335" s="10" t="n">
        <f aca="false">A334+1</f>
        <v>333</v>
      </c>
      <c r="B335" s="11" t="str">
        <f aca="false">com.sun.star.sheet.addin.Analysis.getDec2Hex(2560+A335)</f>
        <v>B4D</v>
      </c>
      <c r="C335" s="11"/>
      <c r="D335" s="97"/>
      <c r="E335" s="10"/>
      <c r="F335" s="10"/>
      <c r="G335" s="99"/>
      <c r="H335" s="96"/>
      <c r="I335" s="10"/>
      <c r="J335" s="10"/>
      <c r="K335" s="99"/>
    </row>
    <row r="336" customFormat="false" ht="15" hidden="false" customHeight="false" outlineLevel="0" collapsed="false">
      <c r="A336" s="10" t="n">
        <f aca="false">A335+1</f>
        <v>334</v>
      </c>
      <c r="B336" s="11" t="str">
        <f aca="false">com.sun.star.sheet.addin.Analysis.getDec2Hex(2560+A336)</f>
        <v>B4E</v>
      </c>
      <c r="C336" s="11"/>
      <c r="D336" s="97"/>
      <c r="E336" s="10"/>
      <c r="F336" s="10"/>
      <c r="G336" s="99"/>
      <c r="H336" s="96"/>
      <c r="I336" s="10"/>
      <c r="J336" s="10"/>
      <c r="K336" s="99"/>
    </row>
    <row r="337" customFormat="false" ht="15" hidden="false" customHeight="false" outlineLevel="0" collapsed="false">
      <c r="A337" s="10" t="n">
        <f aca="false">A336+1</f>
        <v>335</v>
      </c>
      <c r="B337" s="11" t="str">
        <f aca="false">com.sun.star.sheet.addin.Analysis.getDec2Hex(2560+A337)</f>
        <v>B4F</v>
      </c>
      <c r="C337" s="11"/>
      <c r="D337" s="97"/>
      <c r="E337" s="10"/>
      <c r="F337" s="10"/>
      <c r="G337" s="99"/>
      <c r="H337" s="96"/>
      <c r="I337" s="10"/>
      <c r="J337" s="10"/>
      <c r="K337" s="99"/>
    </row>
    <row r="338" customFormat="false" ht="15" hidden="false" customHeight="false" outlineLevel="0" collapsed="false">
      <c r="A338" s="10" t="n">
        <f aca="false">A337+1</f>
        <v>336</v>
      </c>
      <c r="B338" s="11" t="str">
        <f aca="false">com.sun.star.sheet.addin.Analysis.getDec2Hex(2560+A338)</f>
        <v>B50</v>
      </c>
      <c r="C338" s="11"/>
      <c r="D338" s="97"/>
      <c r="E338" s="10"/>
      <c r="F338" s="10"/>
      <c r="G338" s="99"/>
      <c r="H338" s="96"/>
      <c r="I338" s="10"/>
      <c r="J338" s="10"/>
      <c r="K338" s="99"/>
    </row>
    <row r="339" customFormat="false" ht="15" hidden="false" customHeight="false" outlineLevel="0" collapsed="false">
      <c r="A339" s="10" t="n">
        <f aca="false">A338+1</f>
        <v>337</v>
      </c>
      <c r="B339" s="11" t="str">
        <f aca="false">com.sun.star.sheet.addin.Analysis.getDec2Hex(2560+A339)</f>
        <v>B51</v>
      </c>
      <c r="C339" s="11"/>
      <c r="D339" s="97"/>
      <c r="E339" s="10"/>
      <c r="F339" s="10"/>
      <c r="G339" s="99"/>
      <c r="H339" s="96"/>
      <c r="I339" s="10"/>
      <c r="J339" s="10"/>
      <c r="K339" s="99"/>
    </row>
    <row r="340" customFormat="false" ht="15" hidden="false" customHeight="false" outlineLevel="0" collapsed="false">
      <c r="A340" s="10" t="n">
        <f aca="false">A339+1</f>
        <v>338</v>
      </c>
      <c r="B340" s="11" t="str">
        <f aca="false">com.sun.star.sheet.addin.Analysis.getDec2Hex(2560+A340)</f>
        <v>B52</v>
      </c>
      <c r="C340" s="11"/>
      <c r="D340" s="97"/>
      <c r="E340" s="10"/>
      <c r="F340" s="10"/>
      <c r="G340" s="99"/>
      <c r="H340" s="96"/>
      <c r="I340" s="10"/>
      <c r="J340" s="10"/>
      <c r="K340" s="99"/>
    </row>
    <row r="341" customFormat="false" ht="15" hidden="false" customHeight="false" outlineLevel="0" collapsed="false">
      <c r="A341" s="10" t="n">
        <f aca="false">A340+1</f>
        <v>339</v>
      </c>
      <c r="B341" s="11" t="str">
        <f aca="false">com.sun.star.sheet.addin.Analysis.getDec2Hex(2560+A341)</f>
        <v>B53</v>
      </c>
      <c r="C341" s="11"/>
      <c r="D341" s="97"/>
      <c r="E341" s="10"/>
      <c r="F341" s="10"/>
      <c r="G341" s="99"/>
      <c r="H341" s="96"/>
      <c r="I341" s="10"/>
      <c r="J341" s="10"/>
      <c r="K341" s="99"/>
    </row>
    <row r="342" customFormat="false" ht="15" hidden="false" customHeight="false" outlineLevel="0" collapsed="false">
      <c r="A342" s="10" t="n">
        <f aca="false">A341+1</f>
        <v>340</v>
      </c>
      <c r="B342" s="11" t="str">
        <f aca="false">com.sun.star.sheet.addin.Analysis.getDec2Hex(2560+A342)</f>
        <v>B54</v>
      </c>
      <c r="C342" s="11"/>
      <c r="D342" s="97"/>
      <c r="E342" s="10"/>
      <c r="F342" s="10"/>
      <c r="G342" s="99"/>
      <c r="H342" s="96"/>
      <c r="I342" s="10"/>
      <c r="J342" s="10"/>
      <c r="K342" s="99"/>
    </row>
    <row r="343" customFormat="false" ht="15" hidden="false" customHeight="false" outlineLevel="0" collapsed="false">
      <c r="A343" s="10" t="n">
        <f aca="false">A342+1</f>
        <v>341</v>
      </c>
      <c r="B343" s="11" t="str">
        <f aca="false">com.sun.star.sheet.addin.Analysis.getDec2Hex(2560+A343)</f>
        <v>B55</v>
      </c>
      <c r="C343" s="11"/>
      <c r="D343" s="97"/>
      <c r="E343" s="10"/>
      <c r="F343" s="10"/>
      <c r="G343" s="99"/>
      <c r="H343" s="96"/>
      <c r="I343" s="10"/>
      <c r="J343" s="10"/>
      <c r="K343" s="99"/>
    </row>
    <row r="344" customFormat="false" ht="15" hidden="false" customHeight="false" outlineLevel="0" collapsed="false">
      <c r="A344" s="10" t="n">
        <f aca="false">A343+1</f>
        <v>342</v>
      </c>
      <c r="B344" s="11" t="str">
        <f aca="false">com.sun.star.sheet.addin.Analysis.getDec2Hex(2560+A344)</f>
        <v>B56</v>
      </c>
      <c r="C344" s="11"/>
      <c r="D344" s="97"/>
      <c r="E344" s="10"/>
      <c r="F344" s="10"/>
      <c r="G344" s="99"/>
      <c r="H344" s="96"/>
      <c r="I344" s="10"/>
      <c r="J344" s="10"/>
      <c r="K344" s="99"/>
    </row>
    <row r="345" customFormat="false" ht="15" hidden="false" customHeight="false" outlineLevel="0" collapsed="false">
      <c r="A345" s="10" t="n">
        <f aca="false">A344+1</f>
        <v>343</v>
      </c>
      <c r="B345" s="11" t="str">
        <f aca="false">com.sun.star.sheet.addin.Analysis.getDec2Hex(2560+A345)</f>
        <v>B57</v>
      </c>
      <c r="C345" s="11"/>
      <c r="D345" s="97"/>
      <c r="E345" s="10"/>
      <c r="F345" s="10"/>
      <c r="G345" s="99"/>
      <c r="H345" s="96"/>
      <c r="I345" s="10"/>
      <c r="J345" s="10"/>
      <c r="K345" s="99"/>
    </row>
    <row r="346" customFormat="false" ht="15" hidden="false" customHeight="false" outlineLevel="0" collapsed="false">
      <c r="A346" s="10" t="n">
        <f aca="false">A345+1</f>
        <v>344</v>
      </c>
      <c r="B346" s="11" t="str">
        <f aca="false">com.sun.star.sheet.addin.Analysis.getDec2Hex(2560+A346)</f>
        <v>B58</v>
      </c>
      <c r="C346" s="11"/>
      <c r="D346" s="97"/>
      <c r="E346" s="10"/>
      <c r="F346" s="10"/>
      <c r="G346" s="99"/>
      <c r="H346" s="96"/>
      <c r="I346" s="10"/>
      <c r="J346" s="10"/>
      <c r="K346" s="99"/>
    </row>
    <row r="347" customFormat="false" ht="15" hidden="false" customHeight="false" outlineLevel="0" collapsed="false">
      <c r="A347" s="10" t="n">
        <f aca="false">A346+1</f>
        <v>345</v>
      </c>
      <c r="B347" s="11" t="str">
        <f aca="false">com.sun.star.sheet.addin.Analysis.getDec2Hex(2560+A347)</f>
        <v>B59</v>
      </c>
      <c r="C347" s="11"/>
      <c r="D347" s="97"/>
      <c r="E347" s="10"/>
      <c r="F347" s="10"/>
      <c r="G347" s="99"/>
      <c r="H347" s="96"/>
      <c r="I347" s="10"/>
      <c r="J347" s="10"/>
      <c r="K347" s="99"/>
    </row>
    <row r="348" customFormat="false" ht="15" hidden="false" customHeight="false" outlineLevel="0" collapsed="false">
      <c r="A348" s="10" t="n">
        <f aca="false">A347+1</f>
        <v>346</v>
      </c>
      <c r="B348" s="11" t="str">
        <f aca="false">com.sun.star.sheet.addin.Analysis.getDec2Hex(2560+A348)</f>
        <v>B5A</v>
      </c>
      <c r="C348" s="11"/>
      <c r="D348" s="97"/>
      <c r="E348" s="10"/>
      <c r="F348" s="10"/>
      <c r="G348" s="99"/>
      <c r="H348" s="96"/>
      <c r="I348" s="10"/>
      <c r="J348" s="10"/>
      <c r="K348" s="99"/>
    </row>
    <row r="349" customFormat="false" ht="15" hidden="false" customHeight="false" outlineLevel="0" collapsed="false">
      <c r="A349" s="10" t="n">
        <f aca="false">A348+1</f>
        <v>347</v>
      </c>
      <c r="B349" s="11" t="str">
        <f aca="false">com.sun.star.sheet.addin.Analysis.getDec2Hex(2560+A349)</f>
        <v>B5B</v>
      </c>
      <c r="C349" s="11"/>
      <c r="D349" s="97"/>
      <c r="E349" s="10"/>
      <c r="F349" s="10"/>
      <c r="G349" s="99"/>
      <c r="H349" s="96"/>
      <c r="I349" s="10"/>
      <c r="J349" s="10"/>
      <c r="K349" s="99"/>
    </row>
    <row r="350" customFormat="false" ht="15" hidden="false" customHeight="false" outlineLevel="0" collapsed="false">
      <c r="A350" s="10" t="n">
        <f aca="false">A349+1</f>
        <v>348</v>
      </c>
      <c r="B350" s="11" t="str">
        <f aca="false">com.sun.star.sheet.addin.Analysis.getDec2Hex(2560+A350)</f>
        <v>B5C</v>
      </c>
      <c r="C350" s="11"/>
      <c r="D350" s="97"/>
      <c r="E350" s="10"/>
      <c r="F350" s="10"/>
      <c r="G350" s="99"/>
      <c r="H350" s="96"/>
      <c r="I350" s="10"/>
      <c r="J350" s="10"/>
      <c r="K350" s="99"/>
    </row>
    <row r="351" customFormat="false" ht="15" hidden="false" customHeight="false" outlineLevel="0" collapsed="false">
      <c r="A351" s="10" t="n">
        <f aca="false">A350+1</f>
        <v>349</v>
      </c>
      <c r="B351" s="11" t="str">
        <f aca="false">com.sun.star.sheet.addin.Analysis.getDec2Hex(2560+A351)</f>
        <v>B5D</v>
      </c>
      <c r="C351" s="11"/>
      <c r="D351" s="97"/>
      <c r="E351" s="10"/>
      <c r="F351" s="10"/>
      <c r="G351" s="99"/>
      <c r="H351" s="96"/>
      <c r="I351" s="10"/>
      <c r="J351" s="10"/>
      <c r="K351" s="99"/>
    </row>
    <row r="352" customFormat="false" ht="15" hidden="false" customHeight="false" outlineLevel="0" collapsed="false">
      <c r="A352" s="10" t="n">
        <f aca="false">A351+1</f>
        <v>350</v>
      </c>
      <c r="B352" s="11" t="str">
        <f aca="false">com.sun.star.sheet.addin.Analysis.getDec2Hex(2560+A352)</f>
        <v>B5E</v>
      </c>
      <c r="C352" s="11"/>
      <c r="D352" s="97"/>
      <c r="E352" s="10"/>
      <c r="F352" s="10"/>
      <c r="G352" s="99"/>
      <c r="H352" s="96"/>
      <c r="I352" s="10"/>
      <c r="J352" s="10"/>
      <c r="K352" s="99"/>
    </row>
    <row r="353" customFormat="false" ht="15" hidden="false" customHeight="false" outlineLevel="0" collapsed="false">
      <c r="A353" s="10" t="n">
        <f aca="false">A352+1</f>
        <v>351</v>
      </c>
      <c r="B353" s="11" t="str">
        <f aca="false">com.sun.star.sheet.addin.Analysis.getDec2Hex(2560+A353)</f>
        <v>B5F</v>
      </c>
      <c r="C353" s="11"/>
      <c r="D353" s="97"/>
      <c r="E353" s="10"/>
      <c r="F353" s="10"/>
      <c r="G353" s="99"/>
      <c r="H353" s="96"/>
      <c r="I353" s="10"/>
      <c r="J353" s="10"/>
      <c r="K353" s="99"/>
    </row>
    <row r="354" customFormat="false" ht="15" hidden="false" customHeight="false" outlineLevel="0" collapsed="false">
      <c r="A354" s="10" t="n">
        <f aca="false">A353+1</f>
        <v>352</v>
      </c>
      <c r="B354" s="11" t="str">
        <f aca="false">com.sun.star.sheet.addin.Analysis.getDec2Hex(2560+A354)</f>
        <v>B60</v>
      </c>
      <c r="C354" s="11"/>
      <c r="D354" s="97"/>
      <c r="E354" s="10"/>
      <c r="F354" s="10"/>
      <c r="G354" s="99"/>
      <c r="H354" s="96"/>
      <c r="I354" s="10"/>
      <c r="J354" s="10"/>
      <c r="K354" s="99"/>
    </row>
    <row r="355" customFormat="false" ht="15" hidden="false" customHeight="false" outlineLevel="0" collapsed="false">
      <c r="A355" s="10" t="n">
        <f aca="false">A354+1</f>
        <v>353</v>
      </c>
      <c r="B355" s="11" t="str">
        <f aca="false">com.sun.star.sheet.addin.Analysis.getDec2Hex(2560+A355)</f>
        <v>B61</v>
      </c>
      <c r="C355" s="11"/>
      <c r="D355" s="97"/>
      <c r="E355" s="10"/>
      <c r="F355" s="10"/>
      <c r="G355" s="99"/>
      <c r="H355" s="96"/>
      <c r="I355" s="10"/>
      <c r="J355" s="10"/>
      <c r="K355" s="99"/>
    </row>
    <row r="356" customFormat="false" ht="15" hidden="false" customHeight="false" outlineLevel="0" collapsed="false">
      <c r="A356" s="10" t="n">
        <f aca="false">A355+1</f>
        <v>354</v>
      </c>
      <c r="B356" s="11" t="str">
        <f aca="false">com.sun.star.sheet.addin.Analysis.getDec2Hex(2560+A356)</f>
        <v>B62</v>
      </c>
      <c r="C356" s="11"/>
      <c r="D356" s="97"/>
      <c r="E356" s="10"/>
      <c r="F356" s="10"/>
      <c r="G356" s="99"/>
      <c r="H356" s="96"/>
      <c r="I356" s="10"/>
      <c r="J356" s="10"/>
      <c r="K356" s="99"/>
    </row>
    <row r="357" customFormat="false" ht="15" hidden="false" customHeight="false" outlineLevel="0" collapsed="false">
      <c r="A357" s="10" t="n">
        <f aca="false">A356+1</f>
        <v>355</v>
      </c>
      <c r="B357" s="11" t="str">
        <f aca="false">com.sun.star.sheet.addin.Analysis.getDec2Hex(2560+A357)</f>
        <v>B63</v>
      </c>
      <c r="C357" s="11"/>
      <c r="D357" s="97"/>
      <c r="E357" s="10"/>
      <c r="F357" s="10"/>
      <c r="G357" s="99"/>
      <c r="H357" s="96"/>
      <c r="I357" s="10"/>
      <c r="J357" s="10"/>
      <c r="K357" s="99"/>
    </row>
    <row r="358" customFormat="false" ht="15" hidden="false" customHeight="false" outlineLevel="0" collapsed="false">
      <c r="A358" s="10" t="n">
        <f aca="false">A357+1</f>
        <v>356</v>
      </c>
      <c r="B358" s="11" t="str">
        <f aca="false">com.sun.star.sheet.addin.Analysis.getDec2Hex(2560+A358)</f>
        <v>B64</v>
      </c>
      <c r="C358" s="11"/>
      <c r="D358" s="97"/>
      <c r="E358" s="10"/>
      <c r="F358" s="10"/>
      <c r="G358" s="99"/>
      <c r="H358" s="96"/>
      <c r="I358" s="10"/>
      <c r="J358" s="10"/>
      <c r="K358" s="99"/>
    </row>
    <row r="359" customFormat="false" ht="15" hidden="false" customHeight="false" outlineLevel="0" collapsed="false">
      <c r="A359" s="10" t="n">
        <f aca="false">A358+1</f>
        <v>357</v>
      </c>
      <c r="B359" s="11" t="str">
        <f aca="false">com.sun.star.sheet.addin.Analysis.getDec2Hex(2560+A359)</f>
        <v>B65</v>
      </c>
      <c r="C359" s="11"/>
      <c r="D359" s="97"/>
      <c r="E359" s="10"/>
      <c r="F359" s="10"/>
      <c r="G359" s="99"/>
      <c r="H359" s="96"/>
      <c r="I359" s="10"/>
      <c r="J359" s="10"/>
      <c r="K359" s="99"/>
    </row>
    <row r="360" customFormat="false" ht="15" hidden="false" customHeight="false" outlineLevel="0" collapsed="false">
      <c r="A360" s="10" t="n">
        <f aca="false">A359+1</f>
        <v>358</v>
      </c>
      <c r="B360" s="11" t="str">
        <f aca="false">com.sun.star.sheet.addin.Analysis.getDec2Hex(2560+A360)</f>
        <v>B66</v>
      </c>
      <c r="C360" s="11"/>
      <c r="D360" s="97"/>
      <c r="E360" s="10"/>
      <c r="F360" s="10"/>
      <c r="G360" s="99"/>
      <c r="H360" s="96"/>
      <c r="I360" s="10"/>
      <c r="J360" s="10"/>
      <c r="K360" s="99"/>
    </row>
    <row r="361" customFormat="false" ht="15" hidden="false" customHeight="false" outlineLevel="0" collapsed="false">
      <c r="A361" s="10" t="n">
        <f aca="false">A360+1</f>
        <v>359</v>
      </c>
      <c r="B361" s="11" t="str">
        <f aca="false">com.sun.star.sheet.addin.Analysis.getDec2Hex(2560+A361)</f>
        <v>B67</v>
      </c>
      <c r="C361" s="11"/>
      <c r="D361" s="97"/>
      <c r="E361" s="10"/>
      <c r="F361" s="10"/>
      <c r="G361" s="99"/>
      <c r="H361" s="96"/>
      <c r="I361" s="10"/>
      <c r="J361" s="10"/>
      <c r="K361" s="99"/>
    </row>
    <row r="362" customFormat="false" ht="15" hidden="false" customHeight="false" outlineLevel="0" collapsed="false">
      <c r="A362" s="10" t="n">
        <f aca="false">A361+1</f>
        <v>360</v>
      </c>
      <c r="B362" s="11" t="str">
        <f aca="false">com.sun.star.sheet.addin.Analysis.getDec2Hex(2560+A362)</f>
        <v>B68</v>
      </c>
      <c r="C362" s="11"/>
      <c r="D362" s="97"/>
      <c r="E362" s="10"/>
      <c r="F362" s="10"/>
      <c r="G362" s="99"/>
      <c r="H362" s="96"/>
      <c r="I362" s="10"/>
      <c r="J362" s="10"/>
      <c r="K362" s="99"/>
    </row>
    <row r="363" customFormat="false" ht="15" hidden="false" customHeight="false" outlineLevel="0" collapsed="false">
      <c r="A363" s="10" t="n">
        <f aca="false">A362+1</f>
        <v>361</v>
      </c>
      <c r="B363" s="11" t="str">
        <f aca="false">com.sun.star.sheet.addin.Analysis.getDec2Hex(2560+A363)</f>
        <v>B69</v>
      </c>
      <c r="C363" s="11"/>
      <c r="D363" s="97"/>
      <c r="E363" s="10"/>
      <c r="F363" s="10"/>
      <c r="G363" s="99"/>
      <c r="H363" s="96"/>
      <c r="I363" s="10"/>
      <c r="J363" s="10"/>
      <c r="K363" s="99"/>
    </row>
    <row r="364" customFormat="false" ht="15" hidden="false" customHeight="false" outlineLevel="0" collapsed="false">
      <c r="A364" s="10" t="n">
        <f aca="false">A363+1</f>
        <v>362</v>
      </c>
      <c r="B364" s="11" t="str">
        <f aca="false">com.sun.star.sheet.addin.Analysis.getDec2Hex(2560+A364)</f>
        <v>B6A</v>
      </c>
      <c r="C364" s="11"/>
      <c r="D364" s="97"/>
      <c r="E364" s="10"/>
      <c r="F364" s="10"/>
      <c r="G364" s="99"/>
      <c r="H364" s="96"/>
      <c r="I364" s="10"/>
      <c r="J364" s="10"/>
      <c r="K364" s="99"/>
    </row>
    <row r="365" customFormat="false" ht="15" hidden="false" customHeight="false" outlineLevel="0" collapsed="false">
      <c r="A365" s="10" t="n">
        <f aca="false">A364+1</f>
        <v>363</v>
      </c>
      <c r="B365" s="11" t="str">
        <f aca="false">com.sun.star.sheet.addin.Analysis.getDec2Hex(2560+A365)</f>
        <v>B6B</v>
      </c>
      <c r="C365" s="11"/>
      <c r="D365" s="97"/>
      <c r="E365" s="10"/>
      <c r="F365" s="10"/>
      <c r="G365" s="99"/>
      <c r="H365" s="96"/>
      <c r="I365" s="10"/>
      <c r="J365" s="10"/>
      <c r="K365" s="99"/>
    </row>
    <row r="366" customFormat="false" ht="15" hidden="false" customHeight="false" outlineLevel="0" collapsed="false">
      <c r="A366" s="10" t="n">
        <f aca="false">A365+1</f>
        <v>364</v>
      </c>
      <c r="B366" s="11" t="str">
        <f aca="false">com.sun.star.sheet.addin.Analysis.getDec2Hex(2560+A366)</f>
        <v>B6C</v>
      </c>
      <c r="C366" s="11"/>
      <c r="D366" s="97"/>
      <c r="E366" s="10"/>
      <c r="F366" s="10"/>
      <c r="G366" s="99"/>
      <c r="H366" s="96"/>
      <c r="I366" s="10"/>
      <c r="J366" s="10"/>
      <c r="K366" s="99"/>
    </row>
    <row r="367" customFormat="false" ht="15" hidden="false" customHeight="false" outlineLevel="0" collapsed="false">
      <c r="A367" s="10" t="n">
        <f aca="false">A366+1</f>
        <v>365</v>
      </c>
      <c r="B367" s="11" t="str">
        <f aca="false">com.sun.star.sheet.addin.Analysis.getDec2Hex(2560+A367)</f>
        <v>B6D</v>
      </c>
      <c r="C367" s="11"/>
      <c r="D367" s="97"/>
      <c r="E367" s="10"/>
      <c r="F367" s="10"/>
      <c r="G367" s="99"/>
      <c r="H367" s="96"/>
      <c r="I367" s="10"/>
      <c r="J367" s="10"/>
      <c r="K367" s="99"/>
    </row>
    <row r="368" customFormat="false" ht="15" hidden="false" customHeight="false" outlineLevel="0" collapsed="false">
      <c r="A368" s="10" t="n">
        <f aca="false">A367+1</f>
        <v>366</v>
      </c>
      <c r="B368" s="11" t="str">
        <f aca="false">com.sun.star.sheet.addin.Analysis.getDec2Hex(2560+A368)</f>
        <v>B6E</v>
      </c>
      <c r="C368" s="11"/>
      <c r="D368" s="97"/>
      <c r="E368" s="10"/>
      <c r="F368" s="10"/>
      <c r="G368" s="99"/>
      <c r="H368" s="96"/>
      <c r="I368" s="10"/>
      <c r="J368" s="10"/>
      <c r="K368" s="99"/>
    </row>
    <row r="369" customFormat="false" ht="15" hidden="false" customHeight="false" outlineLevel="0" collapsed="false">
      <c r="A369" s="10" t="n">
        <f aca="false">A368+1</f>
        <v>367</v>
      </c>
      <c r="B369" s="11" t="str">
        <f aca="false">com.sun.star.sheet.addin.Analysis.getDec2Hex(2560+A369)</f>
        <v>B6F</v>
      </c>
      <c r="C369" s="11"/>
      <c r="D369" s="97"/>
      <c r="E369" s="10"/>
      <c r="F369" s="10"/>
      <c r="G369" s="99"/>
      <c r="H369" s="96"/>
      <c r="I369" s="10"/>
      <c r="J369" s="10"/>
      <c r="K369" s="99"/>
    </row>
    <row r="370" customFormat="false" ht="15" hidden="false" customHeight="false" outlineLevel="0" collapsed="false">
      <c r="A370" s="10" t="n">
        <f aca="false">A369+1</f>
        <v>368</v>
      </c>
      <c r="B370" s="11" t="str">
        <f aca="false">com.sun.star.sheet.addin.Analysis.getDec2Hex(2560+A370)</f>
        <v>B70</v>
      </c>
      <c r="C370" s="11"/>
      <c r="D370" s="97"/>
      <c r="E370" s="10"/>
      <c r="F370" s="10"/>
      <c r="G370" s="99"/>
      <c r="H370" s="96"/>
      <c r="I370" s="10"/>
      <c r="J370" s="10"/>
      <c r="K370" s="99"/>
    </row>
    <row r="371" customFormat="false" ht="15" hidden="false" customHeight="false" outlineLevel="0" collapsed="false">
      <c r="A371" s="10" t="n">
        <f aca="false">A370+1</f>
        <v>369</v>
      </c>
      <c r="B371" s="11" t="str">
        <f aca="false">com.sun.star.sheet.addin.Analysis.getDec2Hex(2560+A371)</f>
        <v>B71</v>
      </c>
      <c r="C371" s="11"/>
      <c r="D371" s="97"/>
      <c r="E371" s="10"/>
      <c r="F371" s="10"/>
      <c r="G371" s="99"/>
      <c r="H371" s="96"/>
      <c r="I371" s="10"/>
      <c r="J371" s="10"/>
      <c r="K371" s="99"/>
    </row>
    <row r="372" customFormat="false" ht="15" hidden="false" customHeight="false" outlineLevel="0" collapsed="false">
      <c r="A372" s="10" t="n">
        <f aca="false">A371+1</f>
        <v>370</v>
      </c>
      <c r="B372" s="11" t="str">
        <f aca="false">com.sun.star.sheet.addin.Analysis.getDec2Hex(2560+A372)</f>
        <v>B72</v>
      </c>
      <c r="C372" s="11"/>
      <c r="D372" s="97"/>
      <c r="E372" s="10"/>
      <c r="F372" s="10"/>
      <c r="G372" s="99"/>
      <c r="H372" s="96"/>
      <c r="I372" s="10"/>
      <c r="J372" s="10"/>
      <c r="K372" s="99"/>
    </row>
    <row r="373" customFormat="false" ht="15" hidden="false" customHeight="false" outlineLevel="0" collapsed="false">
      <c r="A373" s="10" t="n">
        <f aca="false">A372+1</f>
        <v>371</v>
      </c>
      <c r="B373" s="11" t="str">
        <f aca="false">com.sun.star.sheet.addin.Analysis.getDec2Hex(2560+A373)</f>
        <v>B73</v>
      </c>
      <c r="C373" s="11"/>
      <c r="D373" s="97"/>
      <c r="E373" s="10"/>
      <c r="F373" s="10"/>
      <c r="G373" s="99"/>
      <c r="H373" s="96"/>
      <c r="I373" s="10"/>
      <c r="J373" s="10"/>
      <c r="K373" s="99"/>
    </row>
    <row r="374" customFormat="false" ht="15" hidden="false" customHeight="false" outlineLevel="0" collapsed="false">
      <c r="A374" s="10" t="n">
        <f aca="false">A373+1</f>
        <v>372</v>
      </c>
      <c r="B374" s="11" t="str">
        <f aca="false">com.sun.star.sheet.addin.Analysis.getDec2Hex(2560+A374)</f>
        <v>B74</v>
      </c>
      <c r="C374" s="11"/>
      <c r="D374" s="97"/>
      <c r="E374" s="10"/>
      <c r="F374" s="10"/>
      <c r="G374" s="99"/>
      <c r="H374" s="96"/>
      <c r="I374" s="10"/>
      <c r="J374" s="10"/>
      <c r="K374" s="99"/>
    </row>
    <row r="375" customFormat="false" ht="15" hidden="false" customHeight="false" outlineLevel="0" collapsed="false">
      <c r="A375" s="10" t="n">
        <f aca="false">A374+1</f>
        <v>373</v>
      </c>
      <c r="B375" s="11" t="str">
        <f aca="false">com.sun.star.sheet.addin.Analysis.getDec2Hex(2560+A375)</f>
        <v>B75</v>
      </c>
      <c r="C375" s="11"/>
      <c r="D375" s="97"/>
      <c r="E375" s="10"/>
      <c r="F375" s="10"/>
      <c r="G375" s="99"/>
      <c r="H375" s="96"/>
      <c r="I375" s="10"/>
      <c r="J375" s="10"/>
      <c r="K375" s="99"/>
    </row>
    <row r="376" customFormat="false" ht="15" hidden="false" customHeight="false" outlineLevel="0" collapsed="false">
      <c r="A376" s="10" t="n">
        <f aca="false">A375+1</f>
        <v>374</v>
      </c>
      <c r="B376" s="11" t="str">
        <f aca="false">com.sun.star.sheet.addin.Analysis.getDec2Hex(2560+A376)</f>
        <v>B76</v>
      </c>
      <c r="C376" s="11"/>
      <c r="D376" s="97"/>
      <c r="E376" s="10"/>
      <c r="F376" s="10"/>
      <c r="G376" s="99"/>
      <c r="H376" s="96"/>
      <c r="I376" s="10"/>
      <c r="J376" s="10"/>
      <c r="K376" s="99"/>
    </row>
    <row r="377" customFormat="false" ht="15" hidden="false" customHeight="false" outlineLevel="0" collapsed="false">
      <c r="A377" s="10" t="n">
        <f aca="false">A376+1</f>
        <v>375</v>
      </c>
      <c r="B377" s="11" t="str">
        <f aca="false">com.sun.star.sheet.addin.Analysis.getDec2Hex(2560+A377)</f>
        <v>B77</v>
      </c>
      <c r="C377" s="11"/>
      <c r="D377" s="97"/>
      <c r="E377" s="10"/>
      <c r="F377" s="10"/>
      <c r="G377" s="99"/>
      <c r="H377" s="96"/>
      <c r="I377" s="10"/>
      <c r="J377" s="10"/>
      <c r="K377" s="99"/>
    </row>
    <row r="378" customFormat="false" ht="15" hidden="false" customHeight="false" outlineLevel="0" collapsed="false">
      <c r="A378" s="10" t="n">
        <f aca="false">A377+1</f>
        <v>376</v>
      </c>
      <c r="B378" s="11" t="str">
        <f aca="false">com.sun.star.sheet.addin.Analysis.getDec2Hex(2560+A378)</f>
        <v>B78</v>
      </c>
      <c r="C378" s="11"/>
      <c r="D378" s="97"/>
      <c r="E378" s="10"/>
      <c r="F378" s="10"/>
      <c r="G378" s="99"/>
      <c r="H378" s="96"/>
      <c r="I378" s="10"/>
      <c r="J378" s="10"/>
      <c r="K378" s="99"/>
    </row>
    <row r="379" customFormat="false" ht="15" hidden="false" customHeight="false" outlineLevel="0" collapsed="false">
      <c r="A379" s="10" t="n">
        <f aca="false">A378+1</f>
        <v>377</v>
      </c>
      <c r="B379" s="11" t="str">
        <f aca="false">com.sun.star.sheet.addin.Analysis.getDec2Hex(2560+A379)</f>
        <v>B79</v>
      </c>
      <c r="C379" s="11"/>
      <c r="D379" s="97"/>
      <c r="E379" s="10"/>
      <c r="F379" s="10"/>
      <c r="G379" s="99"/>
      <c r="H379" s="96"/>
      <c r="I379" s="10"/>
      <c r="J379" s="10"/>
      <c r="K379" s="99"/>
    </row>
    <row r="380" customFormat="false" ht="15" hidden="false" customHeight="false" outlineLevel="0" collapsed="false">
      <c r="A380" s="10" t="n">
        <f aca="false">A379+1</f>
        <v>378</v>
      </c>
      <c r="B380" s="11" t="str">
        <f aca="false">com.sun.star.sheet.addin.Analysis.getDec2Hex(2560+A380)</f>
        <v>B7A</v>
      </c>
      <c r="C380" s="11"/>
      <c r="D380" s="97"/>
      <c r="E380" s="10"/>
      <c r="F380" s="10"/>
      <c r="G380" s="99"/>
      <c r="H380" s="96"/>
      <c r="I380" s="10"/>
      <c r="J380" s="10"/>
      <c r="K380" s="99"/>
    </row>
    <row r="381" customFormat="false" ht="15" hidden="false" customHeight="false" outlineLevel="0" collapsed="false">
      <c r="A381" s="10" t="n">
        <f aca="false">A380+1</f>
        <v>379</v>
      </c>
      <c r="B381" s="11" t="str">
        <f aca="false">com.sun.star.sheet.addin.Analysis.getDec2Hex(2560+A381)</f>
        <v>B7B</v>
      </c>
      <c r="C381" s="11"/>
      <c r="D381" s="97"/>
      <c r="E381" s="10"/>
      <c r="F381" s="10"/>
      <c r="G381" s="99"/>
      <c r="H381" s="96"/>
      <c r="I381" s="10"/>
      <c r="J381" s="10"/>
      <c r="K381" s="99"/>
    </row>
    <row r="382" customFormat="false" ht="15" hidden="false" customHeight="false" outlineLevel="0" collapsed="false">
      <c r="A382" s="10" t="n">
        <f aca="false">A381+1</f>
        <v>380</v>
      </c>
      <c r="B382" s="11" t="str">
        <f aca="false">com.sun.star.sheet.addin.Analysis.getDec2Hex(2560+A382)</f>
        <v>B7C</v>
      </c>
      <c r="C382" s="11"/>
      <c r="D382" s="97"/>
      <c r="E382" s="10"/>
      <c r="F382" s="10"/>
      <c r="G382" s="99"/>
      <c r="H382" s="96"/>
      <c r="I382" s="10"/>
      <c r="J382" s="10"/>
      <c r="K382" s="99"/>
    </row>
    <row r="383" customFormat="false" ht="15" hidden="false" customHeight="false" outlineLevel="0" collapsed="false">
      <c r="A383" s="10" t="n">
        <f aca="false">A382+1</f>
        <v>381</v>
      </c>
      <c r="B383" s="11" t="str">
        <f aca="false">com.sun.star.sheet.addin.Analysis.getDec2Hex(2560+A383)</f>
        <v>B7D</v>
      </c>
      <c r="C383" s="11"/>
      <c r="D383" s="97"/>
      <c r="E383" s="10"/>
      <c r="F383" s="10"/>
      <c r="G383" s="99"/>
      <c r="H383" s="96"/>
      <c r="I383" s="10"/>
      <c r="J383" s="10"/>
      <c r="K383" s="99"/>
    </row>
    <row r="384" customFormat="false" ht="15" hidden="false" customHeight="false" outlineLevel="0" collapsed="false">
      <c r="A384" s="10" t="n">
        <f aca="false">A383+1</f>
        <v>382</v>
      </c>
      <c r="B384" s="11" t="str">
        <f aca="false">com.sun.star.sheet.addin.Analysis.getDec2Hex(2560+A384)</f>
        <v>B7E</v>
      </c>
      <c r="C384" s="11"/>
      <c r="D384" s="97"/>
      <c r="E384" s="10"/>
      <c r="F384" s="10"/>
      <c r="G384" s="99"/>
      <c r="H384" s="96"/>
      <c r="I384" s="10"/>
      <c r="J384" s="10"/>
      <c r="K384" s="99"/>
    </row>
    <row r="385" customFormat="false" ht="15" hidden="false" customHeight="false" outlineLevel="0" collapsed="false">
      <c r="A385" s="10" t="n">
        <f aca="false">A384+1</f>
        <v>383</v>
      </c>
      <c r="B385" s="11" t="str">
        <f aca="false">com.sun.star.sheet.addin.Analysis.getDec2Hex(2560+A385)</f>
        <v>B7F</v>
      </c>
      <c r="C385" s="11"/>
      <c r="D385" s="97"/>
      <c r="E385" s="10"/>
      <c r="F385" s="10"/>
      <c r="G385" s="99"/>
      <c r="H385" s="96"/>
      <c r="I385" s="10"/>
      <c r="J385" s="10"/>
      <c r="K385" s="99"/>
    </row>
    <row r="386" customFormat="false" ht="15" hidden="false" customHeight="false" outlineLevel="0" collapsed="false">
      <c r="A386" s="10" t="n">
        <f aca="false">A385+1</f>
        <v>384</v>
      </c>
      <c r="B386" s="11" t="str">
        <f aca="false">com.sun.star.sheet.addin.Analysis.getDec2Hex(2560+A386)</f>
        <v>B80</v>
      </c>
      <c r="C386" s="11"/>
      <c r="D386" s="97"/>
      <c r="E386" s="10"/>
      <c r="F386" s="10"/>
      <c r="G386" s="99"/>
      <c r="H386" s="96"/>
      <c r="I386" s="10"/>
      <c r="J386" s="10"/>
      <c r="K386" s="99"/>
    </row>
    <row r="387" customFormat="false" ht="15" hidden="false" customHeight="false" outlineLevel="0" collapsed="false">
      <c r="A387" s="10" t="n">
        <f aca="false">A386+1</f>
        <v>385</v>
      </c>
      <c r="B387" s="11" t="str">
        <f aca="false">com.sun.star.sheet.addin.Analysis.getDec2Hex(2560+A387)</f>
        <v>B81</v>
      </c>
      <c r="C387" s="11"/>
      <c r="D387" s="97"/>
      <c r="E387" s="10"/>
      <c r="F387" s="10"/>
      <c r="G387" s="99"/>
      <c r="H387" s="96"/>
      <c r="I387" s="10"/>
      <c r="J387" s="10"/>
      <c r="K387" s="99"/>
    </row>
    <row r="388" customFormat="false" ht="15" hidden="false" customHeight="false" outlineLevel="0" collapsed="false">
      <c r="A388" s="10" t="n">
        <f aca="false">A387+1</f>
        <v>386</v>
      </c>
      <c r="B388" s="11" t="str">
        <f aca="false">com.sun.star.sheet.addin.Analysis.getDec2Hex(2560+A388)</f>
        <v>B82</v>
      </c>
      <c r="C388" s="11"/>
      <c r="D388" s="97"/>
      <c r="E388" s="10"/>
      <c r="F388" s="10"/>
      <c r="G388" s="99"/>
      <c r="H388" s="96"/>
      <c r="I388" s="10"/>
      <c r="J388" s="10"/>
      <c r="K388" s="99"/>
    </row>
    <row r="389" customFormat="false" ht="15" hidden="false" customHeight="false" outlineLevel="0" collapsed="false">
      <c r="A389" s="10" t="n">
        <f aca="false">A388+1</f>
        <v>387</v>
      </c>
      <c r="B389" s="11" t="str">
        <f aca="false">com.sun.star.sheet.addin.Analysis.getDec2Hex(2560+A389)</f>
        <v>B83</v>
      </c>
      <c r="C389" s="11"/>
      <c r="D389" s="97"/>
      <c r="E389" s="10"/>
      <c r="F389" s="10"/>
      <c r="G389" s="99"/>
      <c r="H389" s="96"/>
      <c r="I389" s="10"/>
      <c r="J389" s="10"/>
      <c r="K389" s="99"/>
    </row>
    <row r="390" customFormat="false" ht="15" hidden="false" customHeight="false" outlineLevel="0" collapsed="false">
      <c r="A390" s="10" t="n">
        <f aca="false">A389+1</f>
        <v>388</v>
      </c>
      <c r="B390" s="11" t="str">
        <f aca="false">com.sun.star.sheet.addin.Analysis.getDec2Hex(2560+A390)</f>
        <v>B84</v>
      </c>
      <c r="C390" s="11"/>
      <c r="D390" s="97"/>
      <c r="E390" s="10"/>
      <c r="F390" s="10"/>
      <c r="G390" s="99"/>
      <c r="H390" s="96"/>
      <c r="I390" s="10"/>
      <c r="J390" s="10"/>
      <c r="K390" s="99"/>
    </row>
    <row r="391" customFormat="false" ht="15" hidden="false" customHeight="false" outlineLevel="0" collapsed="false">
      <c r="A391" s="10" t="n">
        <f aca="false">A390+1</f>
        <v>389</v>
      </c>
      <c r="B391" s="11" t="str">
        <f aca="false">com.sun.star.sheet.addin.Analysis.getDec2Hex(2560+A391)</f>
        <v>B85</v>
      </c>
      <c r="C391" s="11"/>
      <c r="D391" s="97"/>
      <c r="E391" s="10"/>
      <c r="F391" s="10"/>
      <c r="G391" s="99"/>
      <c r="H391" s="96"/>
      <c r="I391" s="10"/>
      <c r="J391" s="10"/>
      <c r="K391" s="99"/>
    </row>
    <row r="392" customFormat="false" ht="15" hidden="false" customHeight="false" outlineLevel="0" collapsed="false">
      <c r="A392" s="10" t="n">
        <f aca="false">A391+1</f>
        <v>390</v>
      </c>
      <c r="B392" s="11" t="str">
        <f aca="false">com.sun.star.sheet.addin.Analysis.getDec2Hex(2560+A392)</f>
        <v>B86</v>
      </c>
      <c r="C392" s="11"/>
      <c r="D392" s="97"/>
      <c r="E392" s="10"/>
      <c r="F392" s="10"/>
      <c r="G392" s="99"/>
      <c r="H392" s="96"/>
      <c r="I392" s="10"/>
      <c r="J392" s="10"/>
      <c r="K392" s="99"/>
    </row>
    <row r="393" customFormat="false" ht="15" hidden="false" customHeight="false" outlineLevel="0" collapsed="false">
      <c r="A393" s="10" t="n">
        <f aca="false">A392+1</f>
        <v>391</v>
      </c>
      <c r="B393" s="11" t="str">
        <f aca="false">com.sun.star.sheet.addin.Analysis.getDec2Hex(2560+A393)</f>
        <v>B87</v>
      </c>
      <c r="C393" s="11"/>
      <c r="D393" s="97"/>
      <c r="E393" s="10"/>
      <c r="F393" s="10"/>
      <c r="G393" s="99"/>
      <c r="H393" s="96"/>
      <c r="I393" s="10"/>
      <c r="J393" s="10"/>
      <c r="K393" s="99"/>
    </row>
    <row r="394" customFormat="false" ht="15" hidden="false" customHeight="false" outlineLevel="0" collapsed="false">
      <c r="A394" s="10" t="n">
        <f aca="false">A393+1</f>
        <v>392</v>
      </c>
      <c r="B394" s="11" t="str">
        <f aca="false">com.sun.star.sheet.addin.Analysis.getDec2Hex(2560+A394)</f>
        <v>B88</v>
      </c>
      <c r="C394" s="11"/>
      <c r="D394" s="97"/>
      <c r="E394" s="10"/>
      <c r="F394" s="10"/>
      <c r="G394" s="99"/>
      <c r="H394" s="96"/>
      <c r="I394" s="10"/>
      <c r="J394" s="10"/>
      <c r="K394" s="99"/>
    </row>
    <row r="395" customFormat="false" ht="15" hidden="false" customHeight="false" outlineLevel="0" collapsed="false">
      <c r="A395" s="10" t="n">
        <f aca="false">A394+1</f>
        <v>393</v>
      </c>
      <c r="B395" s="11" t="str">
        <f aca="false">com.sun.star.sheet.addin.Analysis.getDec2Hex(2560+A395)</f>
        <v>B89</v>
      </c>
      <c r="C395" s="11"/>
      <c r="D395" s="97"/>
      <c r="E395" s="10"/>
      <c r="F395" s="10"/>
      <c r="G395" s="99"/>
      <c r="H395" s="96"/>
      <c r="I395" s="10"/>
      <c r="J395" s="10"/>
      <c r="K395" s="99"/>
    </row>
    <row r="396" customFormat="false" ht="15" hidden="false" customHeight="false" outlineLevel="0" collapsed="false">
      <c r="A396" s="10" t="n">
        <f aca="false">A395+1</f>
        <v>394</v>
      </c>
      <c r="B396" s="11" t="str">
        <f aca="false">com.sun.star.sheet.addin.Analysis.getDec2Hex(2560+A396)</f>
        <v>B8A</v>
      </c>
      <c r="C396" s="11"/>
      <c r="D396" s="97"/>
      <c r="E396" s="10"/>
      <c r="F396" s="10"/>
      <c r="G396" s="99"/>
      <c r="H396" s="96"/>
      <c r="I396" s="10"/>
      <c r="J396" s="10"/>
      <c r="K396" s="99"/>
    </row>
    <row r="397" customFormat="false" ht="15" hidden="false" customHeight="false" outlineLevel="0" collapsed="false">
      <c r="A397" s="10" t="n">
        <f aca="false">A396+1</f>
        <v>395</v>
      </c>
      <c r="B397" s="11" t="str">
        <f aca="false">com.sun.star.sheet.addin.Analysis.getDec2Hex(2560+A397)</f>
        <v>B8B</v>
      </c>
      <c r="C397" s="11"/>
      <c r="D397" s="97"/>
      <c r="E397" s="10"/>
      <c r="F397" s="10"/>
      <c r="G397" s="99"/>
      <c r="H397" s="96"/>
      <c r="I397" s="10"/>
      <c r="J397" s="10"/>
      <c r="K397" s="99"/>
    </row>
    <row r="398" customFormat="false" ht="15" hidden="false" customHeight="false" outlineLevel="0" collapsed="false">
      <c r="A398" s="10" t="n">
        <f aca="false">A397+1</f>
        <v>396</v>
      </c>
      <c r="B398" s="11" t="str">
        <f aca="false">com.sun.star.sheet.addin.Analysis.getDec2Hex(2560+A398)</f>
        <v>B8C</v>
      </c>
      <c r="C398" s="11"/>
      <c r="D398" s="97"/>
      <c r="E398" s="10"/>
      <c r="F398" s="10"/>
      <c r="G398" s="99"/>
      <c r="H398" s="96"/>
      <c r="I398" s="10"/>
      <c r="J398" s="10"/>
      <c r="K398" s="99"/>
    </row>
    <row r="399" customFormat="false" ht="15" hidden="false" customHeight="false" outlineLevel="0" collapsed="false">
      <c r="A399" s="10" t="n">
        <f aca="false">A398+1</f>
        <v>397</v>
      </c>
      <c r="B399" s="11" t="str">
        <f aca="false">com.sun.star.sheet.addin.Analysis.getDec2Hex(2560+A399)</f>
        <v>B8D</v>
      </c>
      <c r="C399" s="11"/>
      <c r="D399" s="97"/>
      <c r="E399" s="10"/>
      <c r="F399" s="10"/>
      <c r="G399" s="99"/>
      <c r="H399" s="96"/>
      <c r="I399" s="10"/>
      <c r="J399" s="10"/>
      <c r="K399" s="99"/>
    </row>
    <row r="400" customFormat="false" ht="15" hidden="false" customHeight="false" outlineLevel="0" collapsed="false">
      <c r="A400" s="10" t="n">
        <f aca="false">A399+1</f>
        <v>398</v>
      </c>
      <c r="B400" s="11" t="str">
        <f aca="false">com.sun.star.sheet.addin.Analysis.getDec2Hex(2560+A400)</f>
        <v>B8E</v>
      </c>
      <c r="C400" s="11"/>
      <c r="D400" s="97"/>
      <c r="E400" s="10"/>
      <c r="F400" s="10"/>
      <c r="G400" s="99"/>
      <c r="H400" s="96"/>
      <c r="I400" s="10"/>
      <c r="J400" s="10"/>
      <c r="K400" s="99"/>
    </row>
    <row r="401" customFormat="false" ht="15" hidden="false" customHeight="false" outlineLevel="0" collapsed="false">
      <c r="A401" s="10" t="n">
        <f aca="false">A400+1</f>
        <v>399</v>
      </c>
      <c r="B401" s="11" t="str">
        <f aca="false">com.sun.star.sheet.addin.Analysis.getDec2Hex(2560+A401)</f>
        <v>B8F</v>
      </c>
      <c r="C401" s="11"/>
      <c r="D401" s="97"/>
      <c r="E401" s="10"/>
      <c r="F401" s="10"/>
      <c r="G401" s="99"/>
      <c r="H401" s="96"/>
      <c r="I401" s="10"/>
      <c r="J401" s="10"/>
      <c r="K401" s="99"/>
    </row>
    <row r="402" customFormat="false" ht="15" hidden="false" customHeight="false" outlineLevel="0" collapsed="false">
      <c r="A402" s="10" t="n">
        <f aca="false">A401+1</f>
        <v>400</v>
      </c>
      <c r="B402" s="11" t="str">
        <f aca="false">com.sun.star.sheet.addin.Analysis.getDec2Hex(2560+A402)</f>
        <v>B90</v>
      </c>
      <c r="C402" s="11"/>
      <c r="D402" s="97"/>
      <c r="E402" s="10"/>
      <c r="F402" s="10"/>
      <c r="G402" s="99"/>
      <c r="H402" s="96"/>
      <c r="I402" s="10"/>
      <c r="J402" s="10"/>
      <c r="K402" s="99"/>
    </row>
    <row r="403" customFormat="false" ht="15" hidden="false" customHeight="false" outlineLevel="0" collapsed="false">
      <c r="A403" s="10" t="n">
        <f aca="false">A402+1</f>
        <v>401</v>
      </c>
      <c r="B403" s="11" t="str">
        <f aca="false">com.sun.star.sheet.addin.Analysis.getDec2Hex(2560+A403)</f>
        <v>B91</v>
      </c>
      <c r="C403" s="11"/>
      <c r="D403" s="97"/>
      <c r="E403" s="10"/>
      <c r="F403" s="10"/>
      <c r="G403" s="99"/>
      <c r="H403" s="96"/>
      <c r="I403" s="10"/>
      <c r="J403" s="10"/>
      <c r="K403" s="99"/>
    </row>
    <row r="404" customFormat="false" ht="15" hidden="false" customHeight="false" outlineLevel="0" collapsed="false">
      <c r="A404" s="10" t="n">
        <f aca="false">A403+1</f>
        <v>402</v>
      </c>
      <c r="B404" s="11" t="str">
        <f aca="false">com.sun.star.sheet.addin.Analysis.getDec2Hex(2560+A404)</f>
        <v>B92</v>
      </c>
      <c r="C404" s="11"/>
      <c r="D404" s="97"/>
      <c r="E404" s="10"/>
      <c r="F404" s="10"/>
      <c r="G404" s="99"/>
      <c r="H404" s="96"/>
      <c r="I404" s="10"/>
      <c r="J404" s="10"/>
      <c r="K404" s="99"/>
    </row>
    <row r="405" customFormat="false" ht="15" hidden="false" customHeight="false" outlineLevel="0" collapsed="false">
      <c r="A405" s="10" t="n">
        <f aca="false">A404+1</f>
        <v>403</v>
      </c>
      <c r="B405" s="11" t="str">
        <f aca="false">com.sun.star.sheet.addin.Analysis.getDec2Hex(2560+A405)</f>
        <v>B93</v>
      </c>
      <c r="C405" s="11"/>
      <c r="D405" s="97"/>
      <c r="E405" s="10"/>
      <c r="F405" s="10"/>
      <c r="G405" s="99"/>
      <c r="H405" s="96"/>
      <c r="I405" s="10"/>
      <c r="J405" s="10"/>
      <c r="K405" s="99"/>
    </row>
    <row r="406" customFormat="false" ht="15" hidden="false" customHeight="false" outlineLevel="0" collapsed="false">
      <c r="A406" s="10" t="n">
        <f aca="false">A405+1</f>
        <v>404</v>
      </c>
      <c r="B406" s="11" t="str">
        <f aca="false">com.sun.star.sheet.addin.Analysis.getDec2Hex(2560+A406)</f>
        <v>B94</v>
      </c>
      <c r="C406" s="11"/>
      <c r="D406" s="97"/>
      <c r="E406" s="10"/>
      <c r="F406" s="10"/>
      <c r="G406" s="99"/>
      <c r="H406" s="96"/>
      <c r="I406" s="10"/>
      <c r="J406" s="10"/>
      <c r="K406" s="99"/>
    </row>
    <row r="407" customFormat="false" ht="15" hidden="false" customHeight="false" outlineLevel="0" collapsed="false">
      <c r="A407" s="10" t="n">
        <f aca="false">A406+1</f>
        <v>405</v>
      </c>
      <c r="B407" s="11" t="str">
        <f aca="false">com.sun.star.sheet.addin.Analysis.getDec2Hex(2560+A407)</f>
        <v>B95</v>
      </c>
      <c r="C407" s="11"/>
      <c r="D407" s="97"/>
      <c r="E407" s="10"/>
      <c r="F407" s="10"/>
      <c r="G407" s="99"/>
      <c r="H407" s="96"/>
      <c r="I407" s="10"/>
      <c r="J407" s="10"/>
      <c r="K407" s="99"/>
    </row>
    <row r="408" customFormat="false" ht="15" hidden="false" customHeight="false" outlineLevel="0" collapsed="false">
      <c r="A408" s="10" t="n">
        <f aca="false">A407+1</f>
        <v>406</v>
      </c>
      <c r="B408" s="11" t="str">
        <f aca="false">com.sun.star.sheet.addin.Analysis.getDec2Hex(2560+A408)</f>
        <v>B96</v>
      </c>
      <c r="C408" s="11"/>
      <c r="D408" s="97"/>
      <c r="E408" s="10"/>
      <c r="F408" s="10"/>
      <c r="G408" s="99"/>
      <c r="H408" s="96"/>
      <c r="I408" s="10"/>
      <c r="J408" s="10"/>
      <c r="K408" s="99"/>
    </row>
    <row r="409" customFormat="false" ht="15" hidden="false" customHeight="false" outlineLevel="0" collapsed="false">
      <c r="A409" s="10" t="n">
        <f aca="false">A408+1</f>
        <v>407</v>
      </c>
      <c r="B409" s="11" t="str">
        <f aca="false">com.sun.star.sheet.addin.Analysis.getDec2Hex(2560+A409)</f>
        <v>B97</v>
      </c>
      <c r="C409" s="11"/>
      <c r="D409" s="97"/>
      <c r="E409" s="10"/>
      <c r="F409" s="10"/>
      <c r="G409" s="99"/>
      <c r="H409" s="96"/>
      <c r="I409" s="10"/>
      <c r="J409" s="10"/>
      <c r="K409" s="99"/>
    </row>
    <row r="410" customFormat="false" ht="15" hidden="false" customHeight="false" outlineLevel="0" collapsed="false">
      <c r="A410" s="10" t="n">
        <f aca="false">A409+1</f>
        <v>408</v>
      </c>
      <c r="B410" s="11" t="str">
        <f aca="false">com.sun.star.sheet.addin.Analysis.getDec2Hex(2560+A410)</f>
        <v>B98</v>
      </c>
      <c r="C410" s="11"/>
      <c r="D410" s="97"/>
      <c r="E410" s="10"/>
      <c r="F410" s="10"/>
      <c r="G410" s="99"/>
      <c r="H410" s="96"/>
      <c r="I410" s="10"/>
      <c r="J410" s="10"/>
      <c r="K410" s="99"/>
    </row>
    <row r="411" customFormat="false" ht="15" hidden="false" customHeight="false" outlineLevel="0" collapsed="false">
      <c r="A411" s="10" t="n">
        <f aca="false">A410+1</f>
        <v>409</v>
      </c>
      <c r="B411" s="11" t="str">
        <f aca="false">com.sun.star.sheet.addin.Analysis.getDec2Hex(2560+A411)</f>
        <v>B99</v>
      </c>
      <c r="C411" s="11"/>
      <c r="D411" s="97"/>
      <c r="E411" s="10"/>
      <c r="F411" s="10"/>
      <c r="G411" s="99"/>
      <c r="H411" s="96"/>
      <c r="I411" s="10"/>
      <c r="J411" s="10"/>
      <c r="K411" s="99"/>
    </row>
    <row r="412" customFormat="false" ht="15" hidden="false" customHeight="false" outlineLevel="0" collapsed="false">
      <c r="A412" s="10" t="n">
        <f aca="false">A411+1</f>
        <v>410</v>
      </c>
      <c r="B412" s="11" t="str">
        <f aca="false">com.sun.star.sheet.addin.Analysis.getDec2Hex(2560+A412)</f>
        <v>B9A</v>
      </c>
      <c r="C412" s="11"/>
      <c r="D412" s="97"/>
      <c r="E412" s="10"/>
      <c r="F412" s="10"/>
      <c r="G412" s="99"/>
      <c r="H412" s="96"/>
      <c r="I412" s="10"/>
      <c r="J412" s="10"/>
      <c r="K412" s="99"/>
    </row>
    <row r="413" customFormat="false" ht="15" hidden="false" customHeight="false" outlineLevel="0" collapsed="false">
      <c r="A413" s="10" t="n">
        <f aca="false">A412+1</f>
        <v>411</v>
      </c>
      <c r="B413" s="11" t="str">
        <f aca="false">com.sun.star.sheet.addin.Analysis.getDec2Hex(2560+A413)</f>
        <v>B9B</v>
      </c>
      <c r="C413" s="11"/>
      <c r="D413" s="97"/>
      <c r="E413" s="10"/>
      <c r="F413" s="10"/>
      <c r="G413" s="99"/>
      <c r="H413" s="96"/>
      <c r="I413" s="10"/>
      <c r="J413" s="10"/>
      <c r="K413" s="99"/>
    </row>
    <row r="414" customFormat="false" ht="15" hidden="false" customHeight="false" outlineLevel="0" collapsed="false">
      <c r="A414" s="10" t="n">
        <f aca="false">A413+1</f>
        <v>412</v>
      </c>
      <c r="B414" s="11" t="str">
        <f aca="false">com.sun.star.sheet.addin.Analysis.getDec2Hex(2560+A414)</f>
        <v>B9C</v>
      </c>
      <c r="C414" s="11"/>
      <c r="D414" s="97"/>
      <c r="E414" s="10"/>
      <c r="F414" s="10"/>
      <c r="G414" s="99"/>
      <c r="H414" s="96"/>
      <c r="I414" s="10"/>
      <c r="J414" s="10"/>
      <c r="K414" s="99"/>
    </row>
    <row r="415" customFormat="false" ht="15" hidden="false" customHeight="false" outlineLevel="0" collapsed="false">
      <c r="A415" s="10" t="n">
        <f aca="false">A414+1</f>
        <v>413</v>
      </c>
      <c r="B415" s="11" t="str">
        <f aca="false">com.sun.star.sheet.addin.Analysis.getDec2Hex(2560+A415)</f>
        <v>B9D</v>
      </c>
      <c r="C415" s="11"/>
      <c r="D415" s="97"/>
      <c r="E415" s="10"/>
      <c r="F415" s="10"/>
      <c r="G415" s="99"/>
      <c r="H415" s="96"/>
      <c r="I415" s="10"/>
      <c r="J415" s="10"/>
      <c r="K415" s="99"/>
    </row>
    <row r="416" customFormat="false" ht="15" hidden="false" customHeight="false" outlineLevel="0" collapsed="false">
      <c r="A416" s="10" t="n">
        <f aca="false">A415+1</f>
        <v>414</v>
      </c>
      <c r="B416" s="11" t="str">
        <f aca="false">com.sun.star.sheet.addin.Analysis.getDec2Hex(2560+A416)</f>
        <v>B9E</v>
      </c>
      <c r="C416" s="11"/>
      <c r="D416" s="97"/>
      <c r="E416" s="10"/>
      <c r="F416" s="10"/>
      <c r="G416" s="99"/>
      <c r="H416" s="96"/>
      <c r="I416" s="10"/>
      <c r="J416" s="10"/>
      <c r="K416" s="99"/>
    </row>
    <row r="417" customFormat="false" ht="15" hidden="false" customHeight="false" outlineLevel="0" collapsed="false">
      <c r="A417" s="10" t="n">
        <f aca="false">A416+1</f>
        <v>415</v>
      </c>
      <c r="B417" s="11" t="str">
        <f aca="false">com.sun.star.sheet.addin.Analysis.getDec2Hex(2560+A417)</f>
        <v>B9F</v>
      </c>
      <c r="C417" s="11"/>
      <c r="D417" s="97"/>
      <c r="E417" s="10"/>
      <c r="F417" s="10"/>
      <c r="G417" s="99"/>
      <c r="H417" s="96"/>
      <c r="I417" s="10"/>
      <c r="J417" s="10"/>
      <c r="K417" s="99"/>
    </row>
    <row r="418" customFormat="false" ht="15" hidden="false" customHeight="false" outlineLevel="0" collapsed="false">
      <c r="A418" s="10" t="n">
        <f aca="false">A417+1</f>
        <v>416</v>
      </c>
      <c r="B418" s="11" t="str">
        <f aca="false">com.sun.star.sheet.addin.Analysis.getDec2Hex(2560+A418)</f>
        <v>BA0</v>
      </c>
      <c r="C418" s="11"/>
      <c r="D418" s="97"/>
      <c r="E418" s="10"/>
      <c r="F418" s="10"/>
      <c r="G418" s="99"/>
      <c r="H418" s="96"/>
      <c r="I418" s="10"/>
      <c r="J418" s="10"/>
      <c r="K418" s="99"/>
    </row>
    <row r="419" customFormat="false" ht="15" hidden="false" customHeight="false" outlineLevel="0" collapsed="false">
      <c r="A419" s="10" t="n">
        <f aca="false">A418+1</f>
        <v>417</v>
      </c>
      <c r="B419" s="11" t="str">
        <f aca="false">com.sun.star.sheet.addin.Analysis.getDec2Hex(2560+A419)</f>
        <v>BA1</v>
      </c>
      <c r="C419" s="11"/>
      <c r="D419" s="97"/>
      <c r="E419" s="10"/>
      <c r="F419" s="10"/>
      <c r="G419" s="99"/>
      <c r="H419" s="96"/>
      <c r="I419" s="10"/>
      <c r="J419" s="10"/>
      <c r="K419" s="99"/>
    </row>
    <row r="420" customFormat="false" ht="15" hidden="false" customHeight="false" outlineLevel="0" collapsed="false">
      <c r="A420" s="10" t="n">
        <f aca="false">A419+1</f>
        <v>418</v>
      </c>
      <c r="B420" s="11" t="str">
        <f aca="false">com.sun.star.sheet.addin.Analysis.getDec2Hex(2560+A420)</f>
        <v>BA2</v>
      </c>
      <c r="C420" s="11"/>
      <c r="D420" s="97"/>
      <c r="E420" s="10"/>
      <c r="F420" s="10"/>
      <c r="G420" s="99"/>
      <c r="H420" s="96"/>
      <c r="I420" s="10"/>
      <c r="J420" s="10"/>
      <c r="K420" s="99"/>
    </row>
    <row r="421" customFormat="false" ht="15" hidden="false" customHeight="false" outlineLevel="0" collapsed="false">
      <c r="A421" s="10" t="n">
        <f aca="false">A420+1</f>
        <v>419</v>
      </c>
      <c r="B421" s="11" t="str">
        <f aca="false">com.sun.star.sheet.addin.Analysis.getDec2Hex(2560+A421)</f>
        <v>BA3</v>
      </c>
      <c r="C421" s="11"/>
      <c r="D421" s="97"/>
      <c r="E421" s="10"/>
      <c r="F421" s="10"/>
      <c r="G421" s="99"/>
      <c r="H421" s="96"/>
      <c r="I421" s="10"/>
      <c r="J421" s="10"/>
      <c r="K421" s="99"/>
    </row>
    <row r="422" customFormat="false" ht="15" hidden="false" customHeight="false" outlineLevel="0" collapsed="false">
      <c r="A422" s="10" t="n">
        <f aca="false">A421+1</f>
        <v>420</v>
      </c>
      <c r="B422" s="11" t="str">
        <f aca="false">com.sun.star.sheet.addin.Analysis.getDec2Hex(2560+A422)</f>
        <v>BA4</v>
      </c>
      <c r="C422" s="11"/>
      <c r="D422" s="97"/>
      <c r="E422" s="10"/>
      <c r="F422" s="10"/>
      <c r="G422" s="99"/>
      <c r="H422" s="96"/>
      <c r="I422" s="10"/>
      <c r="J422" s="10"/>
      <c r="K422" s="99"/>
    </row>
    <row r="423" customFormat="false" ht="15" hidden="false" customHeight="false" outlineLevel="0" collapsed="false">
      <c r="A423" s="10" t="n">
        <f aca="false">A422+1</f>
        <v>421</v>
      </c>
      <c r="B423" s="11" t="str">
        <f aca="false">com.sun.star.sheet.addin.Analysis.getDec2Hex(2560+A423)</f>
        <v>BA5</v>
      </c>
      <c r="C423" s="11"/>
      <c r="D423" s="97"/>
      <c r="E423" s="10"/>
      <c r="F423" s="10"/>
      <c r="G423" s="99"/>
      <c r="H423" s="96"/>
      <c r="I423" s="10"/>
      <c r="J423" s="10"/>
      <c r="K423" s="99"/>
    </row>
    <row r="424" customFormat="false" ht="15" hidden="false" customHeight="false" outlineLevel="0" collapsed="false">
      <c r="A424" s="10" t="n">
        <f aca="false">A423+1</f>
        <v>422</v>
      </c>
      <c r="B424" s="11" t="str">
        <f aca="false">com.sun.star.sheet.addin.Analysis.getDec2Hex(2560+A424)</f>
        <v>BA6</v>
      </c>
      <c r="C424" s="11"/>
      <c r="D424" s="97"/>
      <c r="E424" s="10"/>
      <c r="F424" s="10"/>
      <c r="G424" s="99"/>
      <c r="H424" s="96"/>
      <c r="I424" s="10"/>
      <c r="J424" s="10"/>
      <c r="K424" s="99"/>
    </row>
    <row r="425" customFormat="false" ht="15" hidden="false" customHeight="false" outlineLevel="0" collapsed="false">
      <c r="A425" s="10" t="n">
        <f aca="false">A424+1</f>
        <v>423</v>
      </c>
      <c r="B425" s="11" t="str">
        <f aca="false">com.sun.star.sheet.addin.Analysis.getDec2Hex(2560+A425)</f>
        <v>BA7</v>
      </c>
      <c r="C425" s="11"/>
      <c r="D425" s="97"/>
      <c r="E425" s="10"/>
      <c r="F425" s="10"/>
      <c r="G425" s="99"/>
      <c r="H425" s="96"/>
      <c r="I425" s="10"/>
      <c r="J425" s="10"/>
      <c r="K425" s="99"/>
    </row>
    <row r="426" customFormat="false" ht="15" hidden="false" customHeight="false" outlineLevel="0" collapsed="false">
      <c r="A426" s="10" t="n">
        <f aca="false">A425+1</f>
        <v>424</v>
      </c>
      <c r="B426" s="11" t="str">
        <f aca="false">com.sun.star.sheet.addin.Analysis.getDec2Hex(2560+A426)</f>
        <v>BA8</v>
      </c>
      <c r="C426" s="11"/>
      <c r="D426" s="97"/>
      <c r="E426" s="10"/>
      <c r="F426" s="10"/>
      <c r="G426" s="99"/>
      <c r="H426" s="96"/>
      <c r="I426" s="10"/>
      <c r="J426" s="10"/>
      <c r="K426" s="99"/>
    </row>
    <row r="427" customFormat="false" ht="15" hidden="false" customHeight="false" outlineLevel="0" collapsed="false">
      <c r="A427" s="10" t="n">
        <f aca="false">A426+1</f>
        <v>425</v>
      </c>
      <c r="B427" s="11" t="str">
        <f aca="false">com.sun.star.sheet.addin.Analysis.getDec2Hex(2560+A427)</f>
        <v>BA9</v>
      </c>
      <c r="C427" s="11"/>
      <c r="D427" s="97"/>
      <c r="E427" s="10"/>
      <c r="F427" s="10"/>
      <c r="G427" s="99"/>
      <c r="H427" s="96"/>
      <c r="I427" s="10"/>
      <c r="J427" s="10"/>
      <c r="K427" s="99"/>
    </row>
    <row r="428" customFormat="false" ht="15" hidden="false" customHeight="false" outlineLevel="0" collapsed="false">
      <c r="A428" s="10" t="n">
        <f aca="false">A427+1</f>
        <v>426</v>
      </c>
      <c r="B428" s="11" t="str">
        <f aca="false">com.sun.star.sheet.addin.Analysis.getDec2Hex(2560+A428)</f>
        <v>BAA</v>
      </c>
      <c r="C428" s="11"/>
      <c r="D428" s="97"/>
      <c r="E428" s="10"/>
      <c r="F428" s="10"/>
      <c r="G428" s="99"/>
      <c r="H428" s="96"/>
      <c r="I428" s="10"/>
      <c r="J428" s="10"/>
      <c r="K428" s="99"/>
    </row>
    <row r="429" customFormat="false" ht="15" hidden="false" customHeight="false" outlineLevel="0" collapsed="false">
      <c r="A429" s="10" t="n">
        <f aca="false">A428+1</f>
        <v>427</v>
      </c>
      <c r="B429" s="11" t="str">
        <f aca="false">com.sun.star.sheet.addin.Analysis.getDec2Hex(2560+A429)</f>
        <v>BAB</v>
      </c>
      <c r="C429" s="11"/>
      <c r="D429" s="97"/>
      <c r="E429" s="10"/>
      <c r="F429" s="10"/>
      <c r="G429" s="99"/>
      <c r="H429" s="96"/>
      <c r="I429" s="10"/>
      <c r="J429" s="10"/>
      <c r="K429" s="99"/>
    </row>
    <row r="430" customFormat="false" ht="15" hidden="false" customHeight="false" outlineLevel="0" collapsed="false">
      <c r="A430" s="10" t="n">
        <f aca="false">A429+1</f>
        <v>428</v>
      </c>
      <c r="B430" s="11" t="str">
        <f aca="false">com.sun.star.sheet.addin.Analysis.getDec2Hex(2560+A430)</f>
        <v>BAC</v>
      </c>
      <c r="C430" s="11"/>
      <c r="D430" s="97"/>
      <c r="E430" s="10"/>
      <c r="F430" s="10"/>
      <c r="G430" s="99"/>
      <c r="H430" s="96"/>
      <c r="I430" s="10"/>
      <c r="J430" s="10"/>
      <c r="K430" s="99"/>
    </row>
    <row r="431" customFormat="false" ht="15" hidden="false" customHeight="false" outlineLevel="0" collapsed="false">
      <c r="A431" s="10" t="n">
        <f aca="false">A430+1</f>
        <v>429</v>
      </c>
      <c r="B431" s="11" t="str">
        <f aca="false">com.sun.star.sheet.addin.Analysis.getDec2Hex(2560+A431)</f>
        <v>BAD</v>
      </c>
      <c r="C431" s="11"/>
      <c r="D431" s="97"/>
      <c r="E431" s="10"/>
      <c r="F431" s="10"/>
      <c r="G431" s="99"/>
      <c r="H431" s="96"/>
      <c r="I431" s="10"/>
      <c r="J431" s="10"/>
      <c r="K431" s="99"/>
    </row>
    <row r="432" customFormat="false" ht="15" hidden="false" customHeight="false" outlineLevel="0" collapsed="false">
      <c r="A432" s="10" t="n">
        <f aca="false">A431+1</f>
        <v>430</v>
      </c>
      <c r="B432" s="11" t="str">
        <f aca="false">com.sun.star.sheet.addin.Analysis.getDec2Hex(2560+A432)</f>
        <v>BAE</v>
      </c>
      <c r="C432" s="11"/>
      <c r="D432" s="97"/>
      <c r="E432" s="10"/>
      <c r="F432" s="10"/>
      <c r="G432" s="99"/>
      <c r="H432" s="96"/>
      <c r="I432" s="10"/>
      <c r="J432" s="10"/>
      <c r="K432" s="99"/>
    </row>
    <row r="433" customFormat="false" ht="15" hidden="false" customHeight="false" outlineLevel="0" collapsed="false">
      <c r="A433" s="10" t="n">
        <f aca="false">A432+1</f>
        <v>431</v>
      </c>
      <c r="B433" s="11" t="str">
        <f aca="false">com.sun.star.sheet.addin.Analysis.getDec2Hex(2560+A433)</f>
        <v>BAF</v>
      </c>
      <c r="C433" s="11"/>
      <c r="D433" s="97"/>
      <c r="E433" s="10"/>
      <c r="F433" s="10"/>
      <c r="G433" s="99"/>
      <c r="H433" s="96"/>
      <c r="I433" s="10"/>
      <c r="J433" s="10"/>
      <c r="K433" s="99"/>
    </row>
    <row r="434" customFormat="false" ht="15" hidden="false" customHeight="false" outlineLevel="0" collapsed="false">
      <c r="A434" s="10" t="n">
        <f aca="false">A433+1</f>
        <v>432</v>
      </c>
      <c r="B434" s="11" t="str">
        <f aca="false">com.sun.star.sheet.addin.Analysis.getDec2Hex(2560+A434)</f>
        <v>BB0</v>
      </c>
      <c r="C434" s="11"/>
      <c r="D434" s="97"/>
      <c r="E434" s="10"/>
      <c r="F434" s="10"/>
      <c r="G434" s="99"/>
      <c r="H434" s="96"/>
      <c r="I434" s="10"/>
      <c r="J434" s="10"/>
      <c r="K434" s="99"/>
    </row>
    <row r="435" customFormat="false" ht="15" hidden="false" customHeight="false" outlineLevel="0" collapsed="false">
      <c r="A435" s="10" t="n">
        <f aca="false">A434+1</f>
        <v>433</v>
      </c>
      <c r="B435" s="11" t="str">
        <f aca="false">com.sun.star.sheet.addin.Analysis.getDec2Hex(2560+A435)</f>
        <v>BB1</v>
      </c>
      <c r="C435" s="11"/>
      <c r="D435" s="97"/>
      <c r="E435" s="10"/>
      <c r="F435" s="10"/>
      <c r="G435" s="99"/>
      <c r="H435" s="96"/>
      <c r="I435" s="10"/>
      <c r="J435" s="10"/>
      <c r="K435" s="99"/>
    </row>
    <row r="436" customFormat="false" ht="15" hidden="false" customHeight="false" outlineLevel="0" collapsed="false">
      <c r="A436" s="10" t="n">
        <f aca="false">A435+1</f>
        <v>434</v>
      </c>
      <c r="B436" s="11" t="str">
        <f aca="false">com.sun.star.sheet.addin.Analysis.getDec2Hex(2560+A436)</f>
        <v>BB2</v>
      </c>
      <c r="C436" s="11"/>
      <c r="D436" s="97"/>
      <c r="E436" s="10"/>
      <c r="F436" s="10"/>
      <c r="G436" s="99"/>
      <c r="H436" s="96"/>
      <c r="I436" s="10"/>
      <c r="J436" s="10"/>
      <c r="K436" s="99"/>
    </row>
    <row r="437" customFormat="false" ht="15" hidden="false" customHeight="false" outlineLevel="0" collapsed="false">
      <c r="A437" s="10" t="n">
        <f aca="false">A436+1</f>
        <v>435</v>
      </c>
      <c r="B437" s="11" t="str">
        <f aca="false">com.sun.star.sheet.addin.Analysis.getDec2Hex(2560+A437)</f>
        <v>BB3</v>
      </c>
      <c r="C437" s="11"/>
      <c r="D437" s="97"/>
      <c r="E437" s="10"/>
      <c r="F437" s="10"/>
      <c r="G437" s="99"/>
      <c r="H437" s="96"/>
      <c r="I437" s="10"/>
      <c r="J437" s="10"/>
      <c r="K437" s="99"/>
    </row>
    <row r="438" customFormat="false" ht="15" hidden="false" customHeight="false" outlineLevel="0" collapsed="false">
      <c r="A438" s="10" t="n">
        <f aca="false">A437+1</f>
        <v>436</v>
      </c>
      <c r="B438" s="11" t="str">
        <f aca="false">com.sun.star.sheet.addin.Analysis.getDec2Hex(2560+A438)</f>
        <v>BB4</v>
      </c>
      <c r="C438" s="11"/>
      <c r="D438" s="97"/>
      <c r="E438" s="10"/>
      <c r="F438" s="10"/>
      <c r="G438" s="99"/>
      <c r="H438" s="96"/>
      <c r="I438" s="10"/>
      <c r="J438" s="10"/>
      <c r="K438" s="99"/>
    </row>
    <row r="439" customFormat="false" ht="15" hidden="false" customHeight="false" outlineLevel="0" collapsed="false">
      <c r="A439" s="10" t="n">
        <f aca="false">A438+1</f>
        <v>437</v>
      </c>
      <c r="B439" s="11" t="str">
        <f aca="false">com.sun.star.sheet.addin.Analysis.getDec2Hex(2560+A439)</f>
        <v>BB5</v>
      </c>
      <c r="C439" s="11"/>
      <c r="D439" s="97"/>
      <c r="E439" s="10"/>
      <c r="F439" s="10"/>
      <c r="G439" s="99"/>
      <c r="H439" s="96"/>
      <c r="I439" s="10"/>
      <c r="J439" s="10"/>
      <c r="K439" s="99"/>
    </row>
    <row r="440" customFormat="false" ht="15" hidden="false" customHeight="false" outlineLevel="0" collapsed="false">
      <c r="A440" s="10" t="n">
        <f aca="false">A439+1</f>
        <v>438</v>
      </c>
      <c r="B440" s="11" t="str">
        <f aca="false">com.sun.star.sheet.addin.Analysis.getDec2Hex(2560+A440)</f>
        <v>BB6</v>
      </c>
      <c r="C440" s="11"/>
      <c r="D440" s="97"/>
      <c r="E440" s="10"/>
      <c r="F440" s="10"/>
      <c r="G440" s="99"/>
      <c r="H440" s="96"/>
      <c r="I440" s="10"/>
      <c r="J440" s="10"/>
      <c r="K440" s="99"/>
    </row>
    <row r="441" customFormat="false" ht="15" hidden="false" customHeight="false" outlineLevel="0" collapsed="false">
      <c r="A441" s="10" t="n">
        <f aca="false">A440+1</f>
        <v>439</v>
      </c>
      <c r="B441" s="11" t="str">
        <f aca="false">com.sun.star.sheet.addin.Analysis.getDec2Hex(2560+A441)</f>
        <v>BB7</v>
      </c>
      <c r="C441" s="11"/>
      <c r="D441" s="97"/>
      <c r="E441" s="10"/>
      <c r="F441" s="10"/>
      <c r="G441" s="99"/>
      <c r="H441" s="96"/>
      <c r="I441" s="10"/>
      <c r="J441" s="10"/>
      <c r="K441" s="99"/>
    </row>
    <row r="442" customFormat="false" ht="15" hidden="false" customHeight="false" outlineLevel="0" collapsed="false">
      <c r="A442" s="10" t="n">
        <f aca="false">A441+1</f>
        <v>440</v>
      </c>
      <c r="B442" s="11" t="str">
        <f aca="false">com.sun.star.sheet.addin.Analysis.getDec2Hex(2560+A442)</f>
        <v>BB8</v>
      </c>
      <c r="C442" s="11"/>
      <c r="D442" s="97"/>
      <c r="E442" s="10"/>
      <c r="F442" s="10"/>
      <c r="G442" s="99"/>
      <c r="H442" s="96"/>
      <c r="I442" s="10"/>
      <c r="J442" s="10"/>
      <c r="K442" s="99"/>
    </row>
    <row r="443" customFormat="false" ht="15" hidden="false" customHeight="false" outlineLevel="0" collapsed="false">
      <c r="A443" s="10" t="n">
        <f aca="false">A442+1</f>
        <v>441</v>
      </c>
      <c r="B443" s="11" t="str">
        <f aca="false">com.sun.star.sheet.addin.Analysis.getDec2Hex(2560+A443)</f>
        <v>BB9</v>
      </c>
      <c r="C443" s="11"/>
      <c r="D443" s="97"/>
      <c r="E443" s="10"/>
      <c r="F443" s="10"/>
      <c r="G443" s="99"/>
      <c r="H443" s="96"/>
      <c r="I443" s="10"/>
      <c r="J443" s="10"/>
      <c r="K443" s="99"/>
    </row>
    <row r="444" customFormat="false" ht="15" hidden="false" customHeight="false" outlineLevel="0" collapsed="false">
      <c r="A444" s="10" t="n">
        <f aca="false">A443+1</f>
        <v>442</v>
      </c>
      <c r="B444" s="11" t="str">
        <f aca="false">com.sun.star.sheet.addin.Analysis.getDec2Hex(2560+A444)</f>
        <v>BBA</v>
      </c>
      <c r="C444" s="11"/>
      <c r="D444" s="97"/>
      <c r="E444" s="10"/>
      <c r="F444" s="10"/>
      <c r="G444" s="99"/>
      <c r="H444" s="96"/>
      <c r="I444" s="10"/>
      <c r="J444" s="10"/>
      <c r="K444" s="99"/>
    </row>
    <row r="445" customFormat="false" ht="15" hidden="false" customHeight="false" outlineLevel="0" collapsed="false">
      <c r="A445" s="10" t="n">
        <f aca="false">A444+1</f>
        <v>443</v>
      </c>
      <c r="B445" s="11" t="str">
        <f aca="false">com.sun.star.sheet.addin.Analysis.getDec2Hex(2560+A445)</f>
        <v>BBB</v>
      </c>
      <c r="C445" s="11"/>
      <c r="D445" s="97"/>
      <c r="E445" s="10"/>
      <c r="F445" s="10"/>
      <c r="G445" s="99"/>
      <c r="H445" s="96"/>
      <c r="I445" s="10"/>
      <c r="J445" s="10"/>
      <c r="K445" s="99"/>
    </row>
    <row r="446" customFormat="false" ht="15" hidden="false" customHeight="false" outlineLevel="0" collapsed="false">
      <c r="A446" s="10" t="n">
        <f aca="false">A445+1</f>
        <v>444</v>
      </c>
      <c r="B446" s="11" t="str">
        <f aca="false">com.sun.star.sheet.addin.Analysis.getDec2Hex(2560+A446)</f>
        <v>BBC</v>
      </c>
      <c r="C446" s="11"/>
      <c r="D446" s="97"/>
      <c r="E446" s="10"/>
      <c r="F446" s="10"/>
      <c r="G446" s="99"/>
      <c r="H446" s="96"/>
      <c r="I446" s="10"/>
      <c r="J446" s="10"/>
      <c r="K446" s="99"/>
    </row>
    <row r="447" customFormat="false" ht="15" hidden="false" customHeight="false" outlineLevel="0" collapsed="false">
      <c r="A447" s="10" t="n">
        <f aca="false">A446+1</f>
        <v>445</v>
      </c>
      <c r="B447" s="11" t="str">
        <f aca="false">com.sun.star.sheet.addin.Analysis.getDec2Hex(2560+A447)</f>
        <v>BBD</v>
      </c>
      <c r="C447" s="11"/>
      <c r="D447" s="97"/>
      <c r="E447" s="10"/>
      <c r="F447" s="10"/>
      <c r="G447" s="99"/>
      <c r="H447" s="96"/>
      <c r="I447" s="10"/>
      <c r="J447" s="10"/>
      <c r="K447" s="99"/>
    </row>
    <row r="448" customFormat="false" ht="15" hidden="false" customHeight="false" outlineLevel="0" collapsed="false">
      <c r="A448" s="10" t="n">
        <f aca="false">A447+1</f>
        <v>446</v>
      </c>
      <c r="B448" s="11" t="str">
        <f aca="false">com.sun.star.sheet.addin.Analysis.getDec2Hex(2560+A448)</f>
        <v>BBE</v>
      </c>
      <c r="C448" s="11"/>
      <c r="D448" s="97"/>
      <c r="E448" s="10"/>
      <c r="F448" s="10"/>
      <c r="G448" s="99"/>
      <c r="H448" s="96"/>
      <c r="I448" s="10"/>
      <c r="J448" s="10"/>
      <c r="K448" s="99"/>
    </row>
    <row r="449" customFormat="false" ht="15" hidden="false" customHeight="false" outlineLevel="0" collapsed="false">
      <c r="A449" s="10" t="n">
        <f aca="false">A448+1</f>
        <v>447</v>
      </c>
      <c r="B449" s="11" t="str">
        <f aca="false">com.sun.star.sheet.addin.Analysis.getDec2Hex(2560+A449)</f>
        <v>BBF</v>
      </c>
      <c r="C449" s="11"/>
      <c r="D449" s="97"/>
      <c r="E449" s="10"/>
      <c r="F449" s="10"/>
      <c r="G449" s="99"/>
      <c r="H449" s="96"/>
      <c r="I449" s="10"/>
      <c r="J449" s="10"/>
      <c r="K449" s="99"/>
    </row>
    <row r="450" customFormat="false" ht="15" hidden="false" customHeight="false" outlineLevel="0" collapsed="false">
      <c r="A450" s="10" t="n">
        <f aca="false">A449+1</f>
        <v>448</v>
      </c>
      <c r="B450" s="11" t="str">
        <f aca="false">com.sun.star.sheet.addin.Analysis.getDec2Hex(2560+A450)</f>
        <v>BC0</v>
      </c>
      <c r="C450" s="11"/>
      <c r="D450" s="97"/>
      <c r="E450" s="10"/>
      <c r="F450" s="10"/>
      <c r="G450" s="99"/>
      <c r="H450" s="96"/>
      <c r="I450" s="10"/>
      <c r="J450" s="10"/>
      <c r="K450" s="99"/>
    </row>
    <row r="451" customFormat="false" ht="15" hidden="false" customHeight="false" outlineLevel="0" collapsed="false">
      <c r="A451" s="10" t="n">
        <f aca="false">A450+1</f>
        <v>449</v>
      </c>
      <c r="B451" s="11" t="str">
        <f aca="false">com.sun.star.sheet.addin.Analysis.getDec2Hex(2560+A451)</f>
        <v>BC1</v>
      </c>
      <c r="C451" s="11"/>
      <c r="D451" s="97"/>
      <c r="E451" s="10"/>
      <c r="F451" s="10"/>
      <c r="G451" s="99"/>
      <c r="H451" s="96"/>
      <c r="I451" s="10"/>
      <c r="J451" s="10"/>
      <c r="K451" s="99"/>
    </row>
    <row r="452" customFormat="false" ht="15" hidden="false" customHeight="false" outlineLevel="0" collapsed="false">
      <c r="A452" s="10" t="n">
        <f aca="false">A451+1</f>
        <v>450</v>
      </c>
      <c r="B452" s="11" t="str">
        <f aca="false">com.sun.star.sheet.addin.Analysis.getDec2Hex(2560+A452)</f>
        <v>BC2</v>
      </c>
      <c r="C452" s="11"/>
      <c r="D452" s="97"/>
      <c r="E452" s="10"/>
      <c r="F452" s="10"/>
      <c r="G452" s="99"/>
      <c r="H452" s="96"/>
      <c r="I452" s="10"/>
      <c r="J452" s="10"/>
      <c r="K452" s="99"/>
    </row>
    <row r="453" customFormat="false" ht="15" hidden="false" customHeight="false" outlineLevel="0" collapsed="false">
      <c r="A453" s="10" t="n">
        <f aca="false">A452+1</f>
        <v>451</v>
      </c>
      <c r="B453" s="11" t="str">
        <f aca="false">com.sun.star.sheet.addin.Analysis.getDec2Hex(2560+A453)</f>
        <v>BC3</v>
      </c>
      <c r="C453" s="11"/>
      <c r="D453" s="97"/>
      <c r="E453" s="10"/>
      <c r="F453" s="10"/>
      <c r="G453" s="99"/>
      <c r="H453" s="96"/>
      <c r="I453" s="10"/>
      <c r="J453" s="10"/>
      <c r="K453" s="99"/>
    </row>
    <row r="454" customFormat="false" ht="15" hidden="false" customHeight="false" outlineLevel="0" collapsed="false">
      <c r="A454" s="10" t="n">
        <f aca="false">A453+1</f>
        <v>452</v>
      </c>
      <c r="B454" s="11" t="str">
        <f aca="false">com.sun.star.sheet.addin.Analysis.getDec2Hex(2560+A454)</f>
        <v>BC4</v>
      </c>
      <c r="C454" s="11"/>
      <c r="D454" s="97"/>
      <c r="E454" s="10"/>
      <c r="F454" s="10"/>
      <c r="G454" s="99"/>
      <c r="H454" s="96"/>
      <c r="I454" s="10"/>
      <c r="J454" s="10"/>
      <c r="K454" s="99"/>
    </row>
    <row r="455" customFormat="false" ht="15" hidden="false" customHeight="false" outlineLevel="0" collapsed="false">
      <c r="A455" s="10" t="n">
        <f aca="false">A454+1</f>
        <v>453</v>
      </c>
      <c r="B455" s="11" t="str">
        <f aca="false">com.sun.star.sheet.addin.Analysis.getDec2Hex(2560+A455)</f>
        <v>BC5</v>
      </c>
      <c r="C455" s="11"/>
      <c r="D455" s="97"/>
      <c r="E455" s="10"/>
      <c r="F455" s="10"/>
      <c r="G455" s="99"/>
      <c r="H455" s="96"/>
      <c r="I455" s="10"/>
      <c r="J455" s="10"/>
      <c r="K455" s="99"/>
    </row>
    <row r="456" customFormat="false" ht="15" hidden="false" customHeight="false" outlineLevel="0" collapsed="false">
      <c r="A456" s="10" t="n">
        <f aca="false">A455+1</f>
        <v>454</v>
      </c>
      <c r="B456" s="11" t="str">
        <f aca="false">com.sun.star.sheet.addin.Analysis.getDec2Hex(2560+A456)</f>
        <v>BC6</v>
      </c>
      <c r="C456" s="11"/>
      <c r="D456" s="97"/>
      <c r="E456" s="10"/>
      <c r="F456" s="10"/>
      <c r="G456" s="99"/>
      <c r="H456" s="96"/>
      <c r="I456" s="10"/>
      <c r="J456" s="10"/>
      <c r="K456" s="99"/>
    </row>
    <row r="457" customFormat="false" ht="15" hidden="false" customHeight="false" outlineLevel="0" collapsed="false">
      <c r="A457" s="10" t="n">
        <f aca="false">A456+1</f>
        <v>455</v>
      </c>
      <c r="B457" s="11" t="str">
        <f aca="false">com.sun.star.sheet.addin.Analysis.getDec2Hex(2560+A457)</f>
        <v>BC7</v>
      </c>
      <c r="C457" s="11"/>
      <c r="D457" s="97"/>
      <c r="E457" s="10"/>
      <c r="F457" s="10"/>
      <c r="G457" s="99"/>
      <c r="H457" s="96"/>
      <c r="I457" s="10"/>
      <c r="J457" s="10"/>
      <c r="K457" s="99"/>
    </row>
    <row r="458" customFormat="false" ht="15" hidden="false" customHeight="false" outlineLevel="0" collapsed="false">
      <c r="A458" s="10" t="n">
        <f aca="false">A457+1</f>
        <v>456</v>
      </c>
      <c r="B458" s="11" t="str">
        <f aca="false">com.sun.star.sheet.addin.Analysis.getDec2Hex(2560+A458)</f>
        <v>BC8</v>
      </c>
      <c r="C458" s="11"/>
      <c r="D458" s="97"/>
      <c r="E458" s="10"/>
      <c r="F458" s="10"/>
      <c r="G458" s="99"/>
      <c r="H458" s="96"/>
      <c r="I458" s="10"/>
      <c r="J458" s="10"/>
      <c r="K458" s="99"/>
    </row>
    <row r="459" customFormat="false" ht="15" hidden="false" customHeight="false" outlineLevel="0" collapsed="false">
      <c r="A459" s="10" t="n">
        <f aca="false">A458+1</f>
        <v>457</v>
      </c>
      <c r="B459" s="11" t="str">
        <f aca="false">com.sun.star.sheet.addin.Analysis.getDec2Hex(2560+A459)</f>
        <v>BC9</v>
      </c>
      <c r="C459" s="11"/>
      <c r="D459" s="97"/>
      <c r="E459" s="10"/>
      <c r="F459" s="10"/>
      <c r="G459" s="99"/>
      <c r="H459" s="96"/>
      <c r="I459" s="10"/>
      <c r="J459" s="10"/>
      <c r="K459" s="99"/>
    </row>
    <row r="460" customFormat="false" ht="15" hidden="false" customHeight="false" outlineLevel="0" collapsed="false">
      <c r="A460" s="10" t="n">
        <f aca="false">A459+1</f>
        <v>458</v>
      </c>
      <c r="B460" s="11" t="str">
        <f aca="false">com.sun.star.sheet.addin.Analysis.getDec2Hex(2560+A460)</f>
        <v>BCA</v>
      </c>
      <c r="C460" s="11"/>
      <c r="D460" s="97"/>
      <c r="E460" s="10"/>
      <c r="F460" s="10"/>
      <c r="G460" s="99"/>
      <c r="H460" s="96"/>
      <c r="I460" s="10"/>
      <c r="J460" s="10"/>
      <c r="K460" s="99"/>
    </row>
    <row r="461" customFormat="false" ht="15" hidden="false" customHeight="false" outlineLevel="0" collapsed="false">
      <c r="A461" s="10" t="n">
        <f aca="false">A460+1</f>
        <v>459</v>
      </c>
      <c r="B461" s="11" t="str">
        <f aca="false">com.sun.star.sheet.addin.Analysis.getDec2Hex(2560+A461)</f>
        <v>BCB</v>
      </c>
      <c r="C461" s="11"/>
      <c r="D461" s="97"/>
      <c r="E461" s="10"/>
      <c r="F461" s="10"/>
      <c r="G461" s="99"/>
      <c r="H461" s="96"/>
      <c r="I461" s="10"/>
      <c r="J461" s="10"/>
      <c r="K461" s="99"/>
    </row>
    <row r="462" customFormat="false" ht="15" hidden="false" customHeight="false" outlineLevel="0" collapsed="false">
      <c r="A462" s="10" t="n">
        <f aca="false">A461+1</f>
        <v>460</v>
      </c>
      <c r="B462" s="11" t="str">
        <f aca="false">com.sun.star.sheet.addin.Analysis.getDec2Hex(2560+A462)</f>
        <v>BCC</v>
      </c>
      <c r="C462" s="11"/>
      <c r="D462" s="97"/>
      <c r="E462" s="10"/>
      <c r="F462" s="10"/>
      <c r="G462" s="99"/>
      <c r="H462" s="96"/>
      <c r="I462" s="10"/>
      <c r="J462" s="10"/>
      <c r="K462" s="99"/>
    </row>
    <row r="463" customFormat="false" ht="15" hidden="false" customHeight="false" outlineLevel="0" collapsed="false">
      <c r="A463" s="10" t="n">
        <f aca="false">A462+1</f>
        <v>461</v>
      </c>
      <c r="B463" s="11" t="str">
        <f aca="false">com.sun.star.sheet.addin.Analysis.getDec2Hex(2560+A463)</f>
        <v>BCD</v>
      </c>
      <c r="C463" s="11"/>
      <c r="D463" s="97"/>
      <c r="E463" s="10"/>
      <c r="F463" s="10"/>
      <c r="G463" s="99"/>
      <c r="H463" s="96"/>
      <c r="I463" s="10"/>
      <c r="J463" s="10"/>
      <c r="K463" s="99"/>
    </row>
    <row r="464" customFormat="false" ht="15" hidden="false" customHeight="false" outlineLevel="0" collapsed="false">
      <c r="A464" s="10" t="n">
        <f aca="false">A463+1</f>
        <v>462</v>
      </c>
      <c r="B464" s="11" t="str">
        <f aca="false">com.sun.star.sheet.addin.Analysis.getDec2Hex(2560+A464)</f>
        <v>BCE</v>
      </c>
      <c r="C464" s="11"/>
      <c r="D464" s="97"/>
      <c r="E464" s="10"/>
      <c r="F464" s="10"/>
      <c r="G464" s="99"/>
      <c r="H464" s="96"/>
      <c r="I464" s="10"/>
      <c r="J464" s="10"/>
      <c r="K464" s="99"/>
    </row>
    <row r="465" customFormat="false" ht="15" hidden="false" customHeight="false" outlineLevel="0" collapsed="false">
      <c r="A465" s="10" t="n">
        <f aca="false">A464+1</f>
        <v>463</v>
      </c>
      <c r="B465" s="11" t="str">
        <f aca="false">com.sun.star.sheet.addin.Analysis.getDec2Hex(2560+A465)</f>
        <v>BCF</v>
      </c>
      <c r="C465" s="11"/>
      <c r="D465" s="97"/>
      <c r="E465" s="10"/>
      <c r="F465" s="10"/>
      <c r="G465" s="99"/>
      <c r="H465" s="96"/>
      <c r="I465" s="10"/>
      <c r="J465" s="10"/>
      <c r="K465" s="99"/>
    </row>
    <row r="466" customFormat="false" ht="15" hidden="false" customHeight="false" outlineLevel="0" collapsed="false">
      <c r="A466" s="10" t="n">
        <f aca="false">A465+1</f>
        <v>464</v>
      </c>
      <c r="B466" s="11" t="str">
        <f aca="false">com.sun.star.sheet.addin.Analysis.getDec2Hex(2560+A466)</f>
        <v>BD0</v>
      </c>
      <c r="C466" s="11"/>
      <c r="D466" s="97"/>
      <c r="E466" s="10"/>
      <c r="F466" s="10"/>
      <c r="G466" s="99"/>
      <c r="H466" s="96"/>
      <c r="I466" s="10"/>
      <c r="J466" s="10"/>
      <c r="K466" s="99"/>
    </row>
    <row r="467" customFormat="false" ht="15" hidden="false" customHeight="false" outlineLevel="0" collapsed="false">
      <c r="A467" s="10" t="n">
        <f aca="false">A466+1</f>
        <v>465</v>
      </c>
      <c r="B467" s="11" t="str">
        <f aca="false">com.sun.star.sheet.addin.Analysis.getDec2Hex(2560+A467)</f>
        <v>BD1</v>
      </c>
      <c r="C467" s="11"/>
      <c r="D467" s="97"/>
      <c r="E467" s="10"/>
      <c r="F467" s="10"/>
      <c r="G467" s="99"/>
      <c r="H467" s="96"/>
      <c r="I467" s="10"/>
      <c r="J467" s="10"/>
      <c r="K467" s="99"/>
    </row>
    <row r="468" customFormat="false" ht="15" hidden="false" customHeight="false" outlineLevel="0" collapsed="false">
      <c r="A468" s="10" t="n">
        <f aca="false">A467+1</f>
        <v>466</v>
      </c>
      <c r="B468" s="11" t="str">
        <f aca="false">com.sun.star.sheet.addin.Analysis.getDec2Hex(2560+A468)</f>
        <v>BD2</v>
      </c>
      <c r="C468" s="11"/>
      <c r="D468" s="97"/>
      <c r="E468" s="10"/>
      <c r="F468" s="10"/>
      <c r="G468" s="99"/>
      <c r="H468" s="96"/>
      <c r="I468" s="10"/>
      <c r="J468" s="10"/>
      <c r="K468" s="99"/>
    </row>
    <row r="469" customFormat="false" ht="15" hidden="false" customHeight="false" outlineLevel="0" collapsed="false">
      <c r="A469" s="10" t="n">
        <f aca="false">A468+1</f>
        <v>467</v>
      </c>
      <c r="B469" s="11" t="str">
        <f aca="false">com.sun.star.sheet.addin.Analysis.getDec2Hex(2560+A469)</f>
        <v>BD3</v>
      </c>
      <c r="C469" s="11"/>
      <c r="D469" s="97"/>
      <c r="E469" s="10"/>
      <c r="F469" s="10"/>
      <c r="G469" s="99"/>
      <c r="H469" s="96"/>
      <c r="I469" s="10"/>
      <c r="J469" s="10"/>
      <c r="K469" s="99"/>
    </row>
    <row r="470" customFormat="false" ht="15" hidden="false" customHeight="false" outlineLevel="0" collapsed="false">
      <c r="A470" s="10" t="n">
        <f aca="false">A469+1</f>
        <v>468</v>
      </c>
      <c r="B470" s="11" t="str">
        <f aca="false">com.sun.star.sheet.addin.Analysis.getDec2Hex(2560+A470)</f>
        <v>BD4</v>
      </c>
      <c r="C470" s="11"/>
      <c r="D470" s="97"/>
      <c r="E470" s="10"/>
      <c r="F470" s="10"/>
      <c r="G470" s="99"/>
      <c r="H470" s="96"/>
      <c r="I470" s="10"/>
      <c r="J470" s="10"/>
      <c r="K470" s="99"/>
    </row>
    <row r="471" customFormat="false" ht="15" hidden="false" customHeight="false" outlineLevel="0" collapsed="false">
      <c r="A471" s="10" t="n">
        <f aca="false">A470+1</f>
        <v>469</v>
      </c>
      <c r="B471" s="11" t="str">
        <f aca="false">com.sun.star.sheet.addin.Analysis.getDec2Hex(2560+A471)</f>
        <v>BD5</v>
      </c>
      <c r="C471" s="11"/>
      <c r="D471" s="97"/>
      <c r="E471" s="10"/>
      <c r="F471" s="10"/>
      <c r="G471" s="99"/>
      <c r="H471" s="96"/>
      <c r="I471" s="10"/>
      <c r="J471" s="10"/>
      <c r="K471" s="99"/>
    </row>
    <row r="472" customFormat="false" ht="15" hidden="false" customHeight="false" outlineLevel="0" collapsed="false">
      <c r="A472" s="10" t="n">
        <f aca="false">A471+1</f>
        <v>470</v>
      </c>
      <c r="B472" s="11" t="str">
        <f aca="false">com.sun.star.sheet.addin.Analysis.getDec2Hex(2560+A472)</f>
        <v>BD6</v>
      </c>
      <c r="C472" s="11"/>
      <c r="D472" s="97"/>
      <c r="E472" s="10"/>
      <c r="F472" s="10"/>
      <c r="G472" s="99"/>
      <c r="H472" s="96"/>
      <c r="I472" s="10"/>
      <c r="J472" s="10"/>
      <c r="K472" s="99"/>
    </row>
    <row r="473" customFormat="false" ht="15" hidden="false" customHeight="false" outlineLevel="0" collapsed="false">
      <c r="A473" s="10" t="n">
        <f aca="false">A472+1</f>
        <v>471</v>
      </c>
      <c r="B473" s="11" t="str">
        <f aca="false">com.sun.star.sheet.addin.Analysis.getDec2Hex(2560+A473)</f>
        <v>BD7</v>
      </c>
      <c r="C473" s="11"/>
      <c r="D473" s="97"/>
      <c r="E473" s="10"/>
      <c r="F473" s="10"/>
      <c r="G473" s="99"/>
      <c r="H473" s="96"/>
      <c r="I473" s="10"/>
      <c r="J473" s="10"/>
      <c r="K473" s="99"/>
    </row>
    <row r="474" customFormat="false" ht="15" hidden="false" customHeight="false" outlineLevel="0" collapsed="false">
      <c r="A474" s="10" t="n">
        <f aca="false">A473+1</f>
        <v>472</v>
      </c>
      <c r="B474" s="11" t="str">
        <f aca="false">com.sun.star.sheet.addin.Analysis.getDec2Hex(2560+A474)</f>
        <v>BD8</v>
      </c>
      <c r="C474" s="11"/>
      <c r="D474" s="97"/>
      <c r="E474" s="10"/>
      <c r="F474" s="10"/>
      <c r="G474" s="99"/>
      <c r="H474" s="96"/>
      <c r="I474" s="10"/>
      <c r="J474" s="10"/>
      <c r="K474" s="99"/>
    </row>
    <row r="475" customFormat="false" ht="15" hidden="false" customHeight="false" outlineLevel="0" collapsed="false">
      <c r="A475" s="10" t="n">
        <f aca="false">A474+1</f>
        <v>473</v>
      </c>
      <c r="B475" s="11" t="str">
        <f aca="false">com.sun.star.sheet.addin.Analysis.getDec2Hex(2560+A475)</f>
        <v>BD9</v>
      </c>
      <c r="C475" s="11"/>
      <c r="D475" s="97"/>
      <c r="E475" s="10"/>
      <c r="F475" s="10"/>
      <c r="G475" s="99"/>
      <c r="H475" s="96"/>
      <c r="I475" s="10"/>
      <c r="J475" s="10"/>
      <c r="K475" s="99"/>
    </row>
    <row r="476" customFormat="false" ht="15" hidden="false" customHeight="false" outlineLevel="0" collapsed="false">
      <c r="A476" s="10" t="n">
        <f aca="false">A475+1</f>
        <v>474</v>
      </c>
      <c r="B476" s="11" t="str">
        <f aca="false">com.sun.star.sheet.addin.Analysis.getDec2Hex(2560+A476)</f>
        <v>BDA</v>
      </c>
      <c r="C476" s="11"/>
      <c r="D476" s="97"/>
      <c r="E476" s="10"/>
      <c r="F476" s="10"/>
      <c r="G476" s="99"/>
      <c r="H476" s="96"/>
      <c r="I476" s="10"/>
      <c r="J476" s="10"/>
      <c r="K476" s="99"/>
    </row>
    <row r="477" customFormat="false" ht="15" hidden="false" customHeight="false" outlineLevel="0" collapsed="false">
      <c r="A477" s="10" t="n">
        <f aca="false">A476+1</f>
        <v>475</v>
      </c>
      <c r="B477" s="11" t="str">
        <f aca="false">com.sun.star.sheet.addin.Analysis.getDec2Hex(2560+A477)</f>
        <v>BDB</v>
      </c>
      <c r="C477" s="11"/>
      <c r="D477" s="97"/>
      <c r="E477" s="10"/>
      <c r="F477" s="10"/>
      <c r="G477" s="99"/>
      <c r="H477" s="96"/>
      <c r="I477" s="10"/>
      <c r="J477" s="10"/>
      <c r="K477" s="99"/>
    </row>
    <row r="478" customFormat="false" ht="15" hidden="false" customHeight="false" outlineLevel="0" collapsed="false">
      <c r="A478" s="10" t="n">
        <f aca="false">A477+1</f>
        <v>476</v>
      </c>
      <c r="B478" s="11" t="str">
        <f aca="false">com.sun.star.sheet.addin.Analysis.getDec2Hex(2560+A478)</f>
        <v>BDC</v>
      </c>
      <c r="C478" s="11"/>
      <c r="D478" s="97"/>
      <c r="E478" s="10"/>
      <c r="F478" s="10"/>
      <c r="G478" s="99"/>
      <c r="H478" s="96"/>
      <c r="I478" s="10"/>
      <c r="J478" s="10"/>
      <c r="K478" s="99"/>
    </row>
    <row r="479" customFormat="false" ht="15" hidden="false" customHeight="false" outlineLevel="0" collapsed="false">
      <c r="A479" s="10" t="n">
        <f aca="false">A478+1</f>
        <v>477</v>
      </c>
      <c r="B479" s="11" t="str">
        <f aca="false">com.sun.star.sheet.addin.Analysis.getDec2Hex(2560+A479)</f>
        <v>BDD</v>
      </c>
      <c r="C479" s="11"/>
      <c r="D479" s="97"/>
      <c r="E479" s="10"/>
      <c r="F479" s="10"/>
      <c r="G479" s="99"/>
      <c r="H479" s="96"/>
      <c r="I479" s="10"/>
      <c r="J479" s="10"/>
      <c r="K479" s="99"/>
    </row>
    <row r="480" customFormat="false" ht="15" hidden="false" customHeight="false" outlineLevel="0" collapsed="false">
      <c r="A480" s="10" t="n">
        <f aca="false">A479+1</f>
        <v>478</v>
      </c>
      <c r="B480" s="11" t="str">
        <f aca="false">com.sun.star.sheet.addin.Analysis.getDec2Hex(2560+A480)</f>
        <v>BDE</v>
      </c>
      <c r="C480" s="11"/>
      <c r="D480" s="97"/>
      <c r="E480" s="10"/>
      <c r="F480" s="10"/>
      <c r="G480" s="99"/>
      <c r="H480" s="96"/>
      <c r="I480" s="10"/>
      <c r="J480" s="10"/>
      <c r="K480" s="99"/>
    </row>
    <row r="481" customFormat="false" ht="15" hidden="false" customHeight="false" outlineLevel="0" collapsed="false">
      <c r="A481" s="10" t="n">
        <f aca="false">A480+1</f>
        <v>479</v>
      </c>
      <c r="B481" s="11" t="str">
        <f aca="false">com.sun.star.sheet.addin.Analysis.getDec2Hex(2560+A481)</f>
        <v>BDF</v>
      </c>
      <c r="C481" s="11"/>
      <c r="D481" s="97"/>
      <c r="E481" s="10"/>
      <c r="F481" s="10"/>
      <c r="G481" s="99"/>
      <c r="H481" s="96"/>
      <c r="I481" s="10"/>
      <c r="J481" s="10"/>
      <c r="K481" s="99"/>
    </row>
    <row r="482" customFormat="false" ht="15" hidden="false" customHeight="false" outlineLevel="0" collapsed="false">
      <c r="A482" s="10" t="n">
        <f aca="false">A481+1</f>
        <v>480</v>
      </c>
      <c r="B482" s="11" t="str">
        <f aca="false">com.sun.star.sheet.addin.Analysis.getDec2Hex(2560+A482)</f>
        <v>BE0</v>
      </c>
      <c r="C482" s="11"/>
      <c r="D482" s="97"/>
      <c r="E482" s="10"/>
      <c r="F482" s="10"/>
      <c r="G482" s="99"/>
      <c r="H482" s="96"/>
      <c r="I482" s="10"/>
      <c r="J482" s="10"/>
      <c r="K482" s="99"/>
    </row>
    <row r="483" customFormat="false" ht="15" hidden="false" customHeight="false" outlineLevel="0" collapsed="false">
      <c r="A483" s="10" t="n">
        <f aca="false">A482+1</f>
        <v>481</v>
      </c>
      <c r="B483" s="11" t="str">
        <f aca="false">com.sun.star.sheet.addin.Analysis.getDec2Hex(2560+A483)</f>
        <v>BE1</v>
      </c>
      <c r="C483" s="11"/>
      <c r="D483" s="97"/>
      <c r="E483" s="10"/>
      <c r="F483" s="10"/>
      <c r="G483" s="99"/>
      <c r="H483" s="96"/>
      <c r="I483" s="10"/>
      <c r="J483" s="10"/>
      <c r="K483" s="99"/>
    </row>
    <row r="484" customFormat="false" ht="15" hidden="false" customHeight="false" outlineLevel="0" collapsed="false">
      <c r="A484" s="10" t="n">
        <f aca="false">A483+1</f>
        <v>482</v>
      </c>
      <c r="B484" s="11" t="str">
        <f aca="false">com.sun.star.sheet.addin.Analysis.getDec2Hex(2560+A484)</f>
        <v>BE2</v>
      </c>
      <c r="C484" s="11"/>
      <c r="D484" s="97"/>
      <c r="E484" s="10"/>
      <c r="F484" s="10"/>
      <c r="G484" s="99"/>
      <c r="H484" s="96"/>
      <c r="I484" s="10"/>
      <c r="J484" s="10"/>
      <c r="K484" s="99"/>
    </row>
    <row r="485" customFormat="false" ht="15" hidden="false" customHeight="false" outlineLevel="0" collapsed="false">
      <c r="A485" s="10" t="n">
        <f aca="false">A484+1</f>
        <v>483</v>
      </c>
      <c r="B485" s="11" t="str">
        <f aca="false">com.sun.star.sheet.addin.Analysis.getDec2Hex(2560+A485)</f>
        <v>BE3</v>
      </c>
      <c r="C485" s="11"/>
      <c r="D485" s="97"/>
      <c r="E485" s="10"/>
      <c r="F485" s="10"/>
      <c r="G485" s="99"/>
      <c r="H485" s="96"/>
      <c r="I485" s="10"/>
      <c r="J485" s="10"/>
      <c r="K485" s="99"/>
    </row>
    <row r="486" customFormat="false" ht="15" hidden="false" customHeight="false" outlineLevel="0" collapsed="false">
      <c r="A486" s="10" t="n">
        <f aca="false">A485+1</f>
        <v>484</v>
      </c>
      <c r="B486" s="11" t="str">
        <f aca="false">com.sun.star.sheet.addin.Analysis.getDec2Hex(2560+A486)</f>
        <v>BE4</v>
      </c>
      <c r="C486" s="11"/>
      <c r="D486" s="97"/>
      <c r="E486" s="10"/>
      <c r="F486" s="10"/>
      <c r="G486" s="99"/>
      <c r="H486" s="96"/>
      <c r="I486" s="10"/>
      <c r="J486" s="10"/>
      <c r="K486" s="99"/>
    </row>
    <row r="487" customFormat="false" ht="15" hidden="false" customHeight="false" outlineLevel="0" collapsed="false">
      <c r="A487" s="10" t="n">
        <f aca="false">A486+1</f>
        <v>485</v>
      </c>
      <c r="B487" s="11" t="str">
        <f aca="false">com.sun.star.sheet.addin.Analysis.getDec2Hex(2560+A487)</f>
        <v>BE5</v>
      </c>
      <c r="C487" s="11"/>
      <c r="D487" s="97"/>
      <c r="E487" s="10"/>
      <c r="F487" s="10"/>
      <c r="G487" s="99"/>
      <c r="H487" s="96"/>
      <c r="I487" s="10"/>
      <c r="J487" s="10"/>
      <c r="K487" s="99"/>
    </row>
    <row r="488" customFormat="false" ht="15" hidden="false" customHeight="false" outlineLevel="0" collapsed="false">
      <c r="A488" s="10" t="n">
        <f aca="false">A487+1</f>
        <v>486</v>
      </c>
      <c r="B488" s="11" t="str">
        <f aca="false">com.sun.star.sheet.addin.Analysis.getDec2Hex(2560+A488)</f>
        <v>BE6</v>
      </c>
      <c r="C488" s="11"/>
      <c r="D488" s="97"/>
      <c r="E488" s="10"/>
      <c r="F488" s="10"/>
      <c r="G488" s="99"/>
      <c r="H488" s="96"/>
      <c r="I488" s="10"/>
      <c r="J488" s="10"/>
      <c r="K488" s="99"/>
    </row>
    <row r="489" customFormat="false" ht="15" hidden="false" customHeight="false" outlineLevel="0" collapsed="false">
      <c r="A489" s="10" t="n">
        <f aca="false">A488+1</f>
        <v>487</v>
      </c>
      <c r="B489" s="11" t="str">
        <f aca="false">com.sun.star.sheet.addin.Analysis.getDec2Hex(2560+A489)</f>
        <v>BE7</v>
      </c>
      <c r="C489" s="11"/>
      <c r="D489" s="97"/>
      <c r="E489" s="10"/>
      <c r="F489" s="10"/>
      <c r="G489" s="99"/>
      <c r="H489" s="96"/>
      <c r="I489" s="10"/>
      <c r="J489" s="10"/>
      <c r="K489" s="99"/>
    </row>
    <row r="490" customFormat="false" ht="15" hidden="false" customHeight="false" outlineLevel="0" collapsed="false">
      <c r="A490" s="10" t="n">
        <f aca="false">A489+1</f>
        <v>488</v>
      </c>
      <c r="B490" s="11" t="str">
        <f aca="false">com.sun.star.sheet.addin.Analysis.getDec2Hex(2560+A490)</f>
        <v>BE8</v>
      </c>
      <c r="C490" s="11"/>
      <c r="D490" s="97"/>
      <c r="E490" s="10"/>
      <c r="F490" s="10"/>
      <c r="G490" s="99"/>
      <c r="H490" s="96"/>
      <c r="I490" s="10"/>
      <c r="J490" s="10"/>
      <c r="K490" s="99"/>
    </row>
    <row r="491" customFormat="false" ht="15" hidden="false" customHeight="false" outlineLevel="0" collapsed="false">
      <c r="A491" s="10" t="n">
        <f aca="false">A490+1</f>
        <v>489</v>
      </c>
      <c r="B491" s="11" t="str">
        <f aca="false">com.sun.star.sheet.addin.Analysis.getDec2Hex(2560+A491)</f>
        <v>BE9</v>
      </c>
      <c r="C491" s="11"/>
      <c r="D491" s="97"/>
      <c r="E491" s="10"/>
      <c r="F491" s="10"/>
      <c r="G491" s="99"/>
      <c r="H491" s="96"/>
      <c r="I491" s="10"/>
      <c r="J491" s="10"/>
      <c r="K491" s="99"/>
    </row>
    <row r="492" customFormat="false" ht="15" hidden="false" customHeight="false" outlineLevel="0" collapsed="false">
      <c r="A492" s="10" t="n">
        <f aca="false">A491+1</f>
        <v>490</v>
      </c>
      <c r="B492" s="11" t="str">
        <f aca="false">com.sun.star.sheet.addin.Analysis.getDec2Hex(2560+A492)</f>
        <v>BEA</v>
      </c>
      <c r="C492" s="11"/>
      <c r="D492" s="97"/>
      <c r="E492" s="10"/>
      <c r="F492" s="10"/>
      <c r="G492" s="99"/>
      <c r="H492" s="96"/>
      <c r="I492" s="10"/>
      <c r="J492" s="10"/>
      <c r="K492" s="99"/>
    </row>
    <row r="493" customFormat="false" ht="15" hidden="false" customHeight="false" outlineLevel="0" collapsed="false">
      <c r="A493" s="10" t="n">
        <f aca="false">A492+1</f>
        <v>491</v>
      </c>
      <c r="B493" s="11" t="str">
        <f aca="false">com.sun.star.sheet.addin.Analysis.getDec2Hex(2560+A493)</f>
        <v>BEB</v>
      </c>
      <c r="C493" s="11"/>
      <c r="D493" s="97"/>
      <c r="E493" s="10"/>
      <c r="F493" s="10"/>
      <c r="G493" s="99"/>
      <c r="H493" s="96"/>
      <c r="I493" s="10"/>
      <c r="J493" s="10"/>
      <c r="K493" s="99"/>
    </row>
    <row r="494" customFormat="false" ht="15" hidden="false" customHeight="false" outlineLevel="0" collapsed="false">
      <c r="A494" s="10" t="n">
        <f aca="false">A493+1</f>
        <v>492</v>
      </c>
      <c r="B494" s="11" t="str">
        <f aca="false">com.sun.star.sheet.addin.Analysis.getDec2Hex(2560+A494)</f>
        <v>BEC</v>
      </c>
      <c r="C494" s="11"/>
      <c r="D494" s="97"/>
      <c r="E494" s="10"/>
      <c r="F494" s="10"/>
      <c r="G494" s="99"/>
      <c r="H494" s="96"/>
      <c r="I494" s="10"/>
      <c r="J494" s="10"/>
      <c r="K494" s="99"/>
    </row>
    <row r="495" customFormat="false" ht="15" hidden="false" customHeight="false" outlineLevel="0" collapsed="false">
      <c r="A495" s="10" t="n">
        <f aca="false">A494+1</f>
        <v>493</v>
      </c>
      <c r="B495" s="11" t="str">
        <f aca="false">com.sun.star.sheet.addin.Analysis.getDec2Hex(2560+A495)</f>
        <v>BED</v>
      </c>
      <c r="C495" s="11"/>
      <c r="D495" s="97"/>
      <c r="E495" s="10"/>
      <c r="F495" s="10"/>
      <c r="G495" s="99"/>
      <c r="H495" s="96"/>
      <c r="I495" s="10"/>
      <c r="J495" s="10"/>
      <c r="K495" s="99"/>
    </row>
    <row r="496" customFormat="false" ht="15" hidden="false" customHeight="false" outlineLevel="0" collapsed="false">
      <c r="A496" s="10" t="n">
        <f aca="false">A495+1</f>
        <v>494</v>
      </c>
      <c r="B496" s="11" t="str">
        <f aca="false">com.sun.star.sheet.addin.Analysis.getDec2Hex(2560+A496)</f>
        <v>BEE</v>
      </c>
      <c r="C496" s="11"/>
      <c r="D496" s="97"/>
      <c r="E496" s="10"/>
      <c r="F496" s="10"/>
      <c r="G496" s="99"/>
      <c r="H496" s="96"/>
      <c r="I496" s="10"/>
      <c r="J496" s="10"/>
      <c r="K496" s="99"/>
    </row>
    <row r="497" customFormat="false" ht="15" hidden="false" customHeight="false" outlineLevel="0" collapsed="false">
      <c r="A497" s="10" t="n">
        <f aca="false">A496+1</f>
        <v>495</v>
      </c>
      <c r="B497" s="11" t="str">
        <f aca="false">com.sun.star.sheet.addin.Analysis.getDec2Hex(2560+A497)</f>
        <v>BEF</v>
      </c>
      <c r="C497" s="11"/>
      <c r="D497" s="97"/>
      <c r="E497" s="10"/>
      <c r="F497" s="10"/>
      <c r="G497" s="99"/>
      <c r="H497" s="96"/>
      <c r="I497" s="10"/>
      <c r="J497" s="10"/>
      <c r="K497" s="99"/>
    </row>
    <row r="498" customFormat="false" ht="15" hidden="false" customHeight="false" outlineLevel="0" collapsed="false">
      <c r="A498" s="10" t="n">
        <f aca="false">A497+1</f>
        <v>496</v>
      </c>
      <c r="B498" s="11" t="str">
        <f aca="false">com.sun.star.sheet.addin.Analysis.getDec2Hex(2560+A498)</f>
        <v>BF0</v>
      </c>
      <c r="C498" s="11"/>
      <c r="D498" s="97"/>
      <c r="E498" s="10"/>
      <c r="F498" s="10"/>
      <c r="G498" s="99"/>
      <c r="H498" s="96"/>
      <c r="I498" s="10"/>
      <c r="J498" s="10"/>
      <c r="K498" s="99"/>
    </row>
    <row r="499" customFormat="false" ht="15" hidden="false" customHeight="false" outlineLevel="0" collapsed="false">
      <c r="A499" s="10" t="n">
        <f aca="false">A498+1</f>
        <v>497</v>
      </c>
      <c r="B499" s="11" t="str">
        <f aca="false">com.sun.star.sheet.addin.Analysis.getDec2Hex(2560+A499)</f>
        <v>BF1</v>
      </c>
      <c r="C499" s="11"/>
      <c r="D499" s="97"/>
      <c r="E499" s="10"/>
      <c r="F499" s="10"/>
      <c r="G499" s="99"/>
      <c r="H499" s="96"/>
      <c r="I499" s="10"/>
      <c r="J499" s="10"/>
      <c r="K499" s="99"/>
    </row>
    <row r="500" customFormat="false" ht="15" hidden="false" customHeight="false" outlineLevel="0" collapsed="false">
      <c r="A500" s="10" t="n">
        <f aca="false">A499+1</f>
        <v>498</v>
      </c>
      <c r="B500" s="11" t="str">
        <f aca="false">com.sun.star.sheet.addin.Analysis.getDec2Hex(2560+A500)</f>
        <v>BF2</v>
      </c>
      <c r="C500" s="11"/>
      <c r="D500" s="97"/>
      <c r="E500" s="10"/>
      <c r="F500" s="10"/>
      <c r="G500" s="99"/>
      <c r="H500" s="96"/>
      <c r="I500" s="10"/>
      <c r="J500" s="10"/>
      <c r="K500" s="99"/>
    </row>
    <row r="501" customFormat="false" ht="15" hidden="false" customHeight="false" outlineLevel="0" collapsed="false">
      <c r="A501" s="10" t="n">
        <f aca="false">A500+1</f>
        <v>499</v>
      </c>
      <c r="B501" s="11" t="str">
        <f aca="false">com.sun.star.sheet.addin.Analysis.getDec2Hex(2560+A501)</f>
        <v>BF3</v>
      </c>
      <c r="C501" s="11"/>
      <c r="D501" s="97"/>
      <c r="E501" s="10"/>
      <c r="F501" s="10"/>
      <c r="G501" s="99"/>
      <c r="H501" s="96"/>
      <c r="I501" s="10"/>
      <c r="J501" s="10"/>
      <c r="K501" s="99"/>
    </row>
    <row r="502" customFormat="false" ht="15" hidden="false" customHeight="false" outlineLevel="0" collapsed="false">
      <c r="A502" s="10" t="n">
        <f aca="false">A501+1</f>
        <v>500</v>
      </c>
      <c r="B502" s="11" t="str">
        <f aca="false">com.sun.star.sheet.addin.Analysis.getDec2Hex(2560+A502)</f>
        <v>BF4</v>
      </c>
      <c r="C502" s="11"/>
      <c r="D502" s="97"/>
      <c r="E502" s="10"/>
      <c r="F502" s="10"/>
      <c r="G502" s="99"/>
      <c r="H502" s="96"/>
      <c r="I502" s="10"/>
      <c r="J502" s="10"/>
      <c r="K502" s="99"/>
    </row>
    <row r="503" customFormat="false" ht="15" hidden="false" customHeight="false" outlineLevel="0" collapsed="false">
      <c r="A503" s="10" t="n">
        <f aca="false">A502+1</f>
        <v>501</v>
      </c>
      <c r="B503" s="11" t="str">
        <f aca="false">com.sun.star.sheet.addin.Analysis.getDec2Hex(2560+A503)</f>
        <v>BF5</v>
      </c>
      <c r="C503" s="11"/>
      <c r="D503" s="97"/>
      <c r="E503" s="10"/>
      <c r="F503" s="10"/>
      <c r="G503" s="99"/>
      <c r="H503" s="96"/>
      <c r="I503" s="10"/>
      <c r="J503" s="10"/>
      <c r="K503" s="99"/>
    </row>
    <row r="504" customFormat="false" ht="15" hidden="false" customHeight="false" outlineLevel="0" collapsed="false">
      <c r="A504" s="10" t="n">
        <f aca="false">A503+1</f>
        <v>502</v>
      </c>
      <c r="B504" s="11" t="str">
        <f aca="false">com.sun.star.sheet.addin.Analysis.getDec2Hex(2560+A504)</f>
        <v>BF6</v>
      </c>
      <c r="C504" s="11"/>
      <c r="D504" s="97"/>
      <c r="E504" s="10"/>
      <c r="F504" s="10"/>
      <c r="G504" s="99"/>
      <c r="H504" s="96"/>
      <c r="I504" s="10"/>
      <c r="J504" s="10"/>
      <c r="K504" s="99"/>
    </row>
    <row r="505" customFormat="false" ht="15" hidden="false" customHeight="false" outlineLevel="0" collapsed="false">
      <c r="A505" s="10" t="n">
        <f aca="false">A504+1</f>
        <v>503</v>
      </c>
      <c r="B505" s="11" t="str">
        <f aca="false">com.sun.star.sheet.addin.Analysis.getDec2Hex(2560+A505)</f>
        <v>BF7</v>
      </c>
      <c r="C505" s="11"/>
      <c r="D505" s="97"/>
      <c r="E505" s="10"/>
      <c r="F505" s="10"/>
      <c r="G505" s="99"/>
      <c r="H505" s="96"/>
      <c r="I505" s="10"/>
      <c r="J505" s="10"/>
      <c r="K505" s="99"/>
    </row>
    <row r="506" customFormat="false" ht="15" hidden="false" customHeight="false" outlineLevel="0" collapsed="false">
      <c r="A506" s="10" t="n">
        <f aca="false">A505+1</f>
        <v>504</v>
      </c>
      <c r="B506" s="11" t="str">
        <f aca="false">com.sun.star.sheet.addin.Analysis.getDec2Hex(2560+A506)</f>
        <v>BF8</v>
      </c>
      <c r="C506" s="11"/>
      <c r="D506" s="97"/>
      <c r="E506" s="10"/>
      <c r="F506" s="10"/>
      <c r="G506" s="99"/>
      <c r="H506" s="96"/>
      <c r="I506" s="10"/>
      <c r="J506" s="10"/>
      <c r="K506" s="99"/>
    </row>
    <row r="507" customFormat="false" ht="15" hidden="false" customHeight="false" outlineLevel="0" collapsed="false">
      <c r="A507" s="10" t="n">
        <f aca="false">A506+1</f>
        <v>505</v>
      </c>
      <c r="B507" s="11" t="str">
        <f aca="false">com.sun.star.sheet.addin.Analysis.getDec2Hex(2560+A507)</f>
        <v>BF9</v>
      </c>
      <c r="C507" s="11"/>
      <c r="D507" s="97"/>
      <c r="E507" s="10"/>
      <c r="F507" s="10"/>
      <c r="G507" s="99"/>
      <c r="H507" s="96"/>
      <c r="I507" s="10"/>
      <c r="J507" s="10"/>
      <c r="K507" s="99"/>
    </row>
    <row r="508" customFormat="false" ht="15" hidden="false" customHeight="false" outlineLevel="0" collapsed="false">
      <c r="A508" s="10" t="n">
        <f aca="false">A507+1</f>
        <v>506</v>
      </c>
      <c r="B508" s="11" t="str">
        <f aca="false">com.sun.star.sheet.addin.Analysis.getDec2Hex(2560+A508)</f>
        <v>BFA</v>
      </c>
      <c r="C508" s="11"/>
      <c r="D508" s="97"/>
      <c r="E508" s="10"/>
      <c r="F508" s="10"/>
      <c r="G508" s="99"/>
      <c r="H508" s="96"/>
      <c r="I508" s="10"/>
      <c r="J508" s="10"/>
      <c r="K508" s="99"/>
    </row>
    <row r="509" customFormat="false" ht="15" hidden="false" customHeight="false" outlineLevel="0" collapsed="false">
      <c r="A509" s="10" t="n">
        <f aca="false">A508+1</f>
        <v>507</v>
      </c>
      <c r="B509" s="11" t="str">
        <f aca="false">com.sun.star.sheet.addin.Analysis.getDec2Hex(2560+A509)</f>
        <v>BFB</v>
      </c>
      <c r="C509" s="11"/>
      <c r="D509" s="97"/>
      <c r="E509" s="10"/>
      <c r="F509" s="10"/>
      <c r="G509" s="99"/>
      <c r="H509" s="96"/>
      <c r="I509" s="10"/>
      <c r="J509" s="10"/>
      <c r="K509" s="99"/>
    </row>
    <row r="510" customFormat="false" ht="15" hidden="false" customHeight="false" outlineLevel="0" collapsed="false">
      <c r="A510" s="10" t="n">
        <f aca="false">A509+1</f>
        <v>508</v>
      </c>
      <c r="B510" s="11" t="str">
        <f aca="false">com.sun.star.sheet.addin.Analysis.getDec2Hex(2560+A510)</f>
        <v>BFC</v>
      </c>
      <c r="C510" s="11"/>
      <c r="D510" s="97"/>
      <c r="E510" s="10"/>
      <c r="F510" s="10"/>
      <c r="G510" s="99"/>
      <c r="H510" s="96"/>
      <c r="I510" s="10"/>
      <c r="J510" s="10"/>
      <c r="K510" s="99"/>
    </row>
    <row r="511" customFormat="false" ht="15" hidden="false" customHeight="false" outlineLevel="0" collapsed="false">
      <c r="A511" s="10" t="n">
        <f aca="false">A510+1</f>
        <v>509</v>
      </c>
      <c r="B511" s="11" t="str">
        <f aca="false">com.sun.star.sheet.addin.Analysis.getDec2Hex(2560+A511)</f>
        <v>BFD</v>
      </c>
      <c r="C511" s="11"/>
      <c r="D511" s="97"/>
      <c r="E511" s="10"/>
      <c r="F511" s="10"/>
      <c r="G511" s="99"/>
      <c r="H511" s="96"/>
      <c r="I511" s="10"/>
      <c r="J511" s="10"/>
      <c r="K511" s="99"/>
    </row>
    <row r="512" customFormat="false" ht="15" hidden="false" customHeight="false" outlineLevel="0" collapsed="false">
      <c r="A512" s="10" t="n">
        <f aca="false">A511+1</f>
        <v>510</v>
      </c>
      <c r="B512" s="11" t="str">
        <f aca="false">com.sun.star.sheet.addin.Analysis.getDec2Hex(2560+A512)</f>
        <v>BFE</v>
      </c>
      <c r="C512" s="11"/>
      <c r="D512" s="97"/>
      <c r="E512" s="10"/>
      <c r="F512" s="10"/>
      <c r="G512" s="99"/>
      <c r="H512" s="96"/>
      <c r="I512" s="10"/>
      <c r="J512" s="10"/>
      <c r="K512" s="99"/>
    </row>
    <row r="513" customFormat="false" ht="15" hidden="false" customHeight="false" outlineLevel="0" collapsed="false">
      <c r="A513" s="10" t="n">
        <f aca="false">A512+1</f>
        <v>511</v>
      </c>
      <c r="B513" s="11" t="str">
        <f aca="false">com.sun.star.sheet.addin.Analysis.getDec2Hex(2560+A513)</f>
        <v>BFF</v>
      </c>
      <c r="C513" s="11"/>
      <c r="D513" s="97"/>
      <c r="E513" s="10"/>
      <c r="F513" s="10"/>
      <c r="G513" s="99"/>
      <c r="H513" s="96"/>
      <c r="I513" s="10"/>
      <c r="J513" s="10"/>
      <c r="K513" s="99"/>
    </row>
  </sheetData>
  <mergeCells count="47">
    <mergeCell ref="D2:K3"/>
    <mergeCell ref="D178:K178"/>
    <mergeCell ref="D182:K182"/>
    <mergeCell ref="D183:K183"/>
    <mergeCell ref="D184:K184"/>
    <mergeCell ref="D185:K185"/>
    <mergeCell ref="D186:K186"/>
    <mergeCell ref="D187:K187"/>
    <mergeCell ref="D188:K188"/>
    <mergeCell ref="D189:K189"/>
    <mergeCell ref="D190:K190"/>
    <mergeCell ref="D191:K191"/>
    <mergeCell ref="D192:K192"/>
    <mergeCell ref="D193:K193"/>
    <mergeCell ref="D194:K194"/>
    <mergeCell ref="D195:K195"/>
    <mergeCell ref="D196:K196"/>
    <mergeCell ref="D197:K197"/>
    <mergeCell ref="D198:K198"/>
    <mergeCell ref="D200:K200"/>
    <mergeCell ref="D202:K202"/>
    <mergeCell ref="D204:K204"/>
    <mergeCell ref="D206:K206"/>
    <mergeCell ref="D208:K208"/>
    <mergeCell ref="D210:K210"/>
    <mergeCell ref="D214:K214"/>
    <mergeCell ref="D216:K217"/>
    <mergeCell ref="D218:K219"/>
    <mergeCell ref="D220:K221"/>
    <mergeCell ref="D222:K222"/>
    <mergeCell ref="D224:K224"/>
    <mergeCell ref="D226:K226"/>
    <mergeCell ref="D234:K234"/>
    <mergeCell ref="D238:K239"/>
    <mergeCell ref="D240:K241"/>
    <mergeCell ref="D250:K250"/>
    <mergeCell ref="D280:K280"/>
    <mergeCell ref="D286:K286"/>
    <mergeCell ref="D292:K292"/>
    <mergeCell ref="D294:K294"/>
    <mergeCell ref="D296:K296"/>
    <mergeCell ref="D298:K299"/>
    <mergeCell ref="D300:K301"/>
    <mergeCell ref="D302:K303"/>
    <mergeCell ref="D304:K305"/>
    <mergeCell ref="D306:K307"/>
    <mergeCell ref="D308:K30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01953125" defaultRowHeight="1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01953125" defaultRowHeight="1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LibreOffice/7.2.7.2$Windows_X86_64 LibreOffice_project/8d71d29d553c0f7dcbfa38fbfda25ee34cce99a2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2019-02-15T17:11:00Z</dcterms:created>
  <dc:creator>Seth Scott</dc:creator>
  <dc:description/>
  <dc:language>en-US</dc:language>
  <cp:lastModifiedBy/>
  <cp:lastPrinted>2019-02-15T20:01:00Z</cp:lastPrinted>
  <dcterms:modified xsi:type="dcterms:W3CDTF">2025-02-01T13:15:50Z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9F3ECD24A0BF4378A8FCBF6D90622546</vt:lpwstr>
  </property>
  <property fmtid="{D5CDD505-2E9C-101B-9397-08002B2CF9AE}" pid="3" name="KSOProductBuildVer">
    <vt:lpwstr>1033-11.2.0.10426</vt:lpwstr>
  </property>
</Properties>
</file>